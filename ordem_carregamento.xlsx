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X:\8. LOGISTICA\ROTEIRIZAÇÃO\ROTEIRIZAÇÃO\Interior\"/>
    </mc:Choice>
  </mc:AlternateContent>
  <xr:revisionPtr revIDLastSave="0" documentId="13_ncr:1_{2546487D-F07E-443B-9A53-AEFD75399692}" xr6:coauthVersionLast="47" xr6:coauthVersionMax="47" xr10:uidLastSave="{00000000-0000-0000-0000-000000000000}"/>
  <bookViews>
    <workbookView xWindow="-28920" yWindow="-765" windowWidth="29040" windowHeight="15720" activeTab="2" xr2:uid="{EE45FC7D-19A2-41EF-BF52-E18E923DCEA0}"/>
  </bookViews>
  <sheets>
    <sheet name="Ficha para impressão" sheetId="2" r:id="rId1"/>
    <sheet name="base" sheetId="1" r:id="rId2"/>
    <sheet name="FROTA-AGREG" sheetId="3" r:id="rId3"/>
    <sheet name="BUONNY" sheetId="4" r:id="rId4"/>
    <sheet name="ORDEM DE CARREGAMENTO" sheetId="5" r:id="rId5"/>
  </sheets>
  <definedNames>
    <definedName name="_xlnm._FilterDatabase" localSheetId="3" hidden="1">BUONNY!$A$1:$I$263</definedName>
    <definedName name="_xlnm._FilterDatabase" localSheetId="2" hidden="1">'FROTA-AGREG'!$B$2:$S$47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1" i="3" l="1"/>
  <c r="N47" i="3" l="1"/>
  <c r="L33" i="3"/>
  <c r="L47" i="3"/>
  <c r="M35" i="3"/>
  <c r="I26" i="5" l="1"/>
  <c r="M26" i="5" l="1"/>
  <c r="A26" i="5"/>
  <c r="F26" i="5"/>
  <c r="E26" i="5"/>
  <c r="J13" i="5"/>
  <c r="G13" i="5"/>
  <c r="A13" i="5"/>
  <c r="L11" i="5"/>
  <c r="G11" i="5"/>
  <c r="A11" i="5"/>
  <c r="M71" i="2" l="1"/>
  <c r="L71" i="2"/>
  <c r="K71" i="2"/>
  <c r="F47" i="3" l="1"/>
  <c r="K2" i="1" l="1"/>
  <c r="J47" i="3" l="1"/>
  <c r="I47" i="3"/>
  <c r="H47" i="3"/>
  <c r="G47" i="3"/>
  <c r="N17" i="3"/>
  <c r="N20" i="3" l="1"/>
  <c r="L20" i="3"/>
  <c r="N19" i="3" l="1"/>
  <c r="L19" i="3"/>
  <c r="N18" i="3" l="1"/>
  <c r="L18" i="3"/>
  <c r="N15" i="3" l="1"/>
  <c r="L15" i="3"/>
  <c r="D5" i="2" l="1"/>
  <c r="D7" i="2"/>
  <c r="N34" i="3" l="1"/>
  <c r="L34" i="3"/>
  <c r="L25" i="3" l="1"/>
  <c r="N29" i="3"/>
  <c r="N35" i="3"/>
  <c r="L35" i="3"/>
  <c r="N43" i="3" l="1"/>
  <c r="L8" i="3" l="1"/>
  <c r="N8" i="3"/>
  <c r="N36" i="3" l="1"/>
  <c r="L17" i="3" l="1"/>
  <c r="K125" i="1" l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L38" i="3"/>
  <c r="N38" i="3"/>
  <c r="L7" i="3" l="1"/>
  <c r="N7" i="3"/>
  <c r="L23" i="3"/>
  <c r="N23" i="3"/>
  <c r="D9" i="2"/>
  <c r="L32" i="3" l="1"/>
  <c r="N32" i="3"/>
  <c r="N16" i="3"/>
  <c r="N4" i="3"/>
  <c r="N37" i="3"/>
  <c r="N28" i="3"/>
  <c r="N42" i="3"/>
  <c r="N25" i="3"/>
  <c r="N41" i="3" l="1"/>
  <c r="N26" i="3" l="1"/>
  <c r="N44" i="3" l="1"/>
  <c r="N6" i="3" l="1"/>
  <c r="N27" i="3"/>
  <c r="N31" i="3"/>
  <c r="L31" i="3"/>
  <c r="N14" i="3"/>
  <c r="L14" i="3"/>
  <c r="N9" i="3" l="1"/>
  <c r="L24" i="3"/>
  <c r="N5" i="3"/>
  <c r="N33" i="3"/>
  <c r="N30" i="3"/>
  <c r="L30" i="3"/>
  <c r="N11" i="3"/>
  <c r="N12" i="3"/>
  <c r="N24" i="3"/>
  <c r="N13" i="3" l="1"/>
  <c r="L13" i="3"/>
  <c r="N10" i="3" l="1"/>
  <c r="N3" i="3"/>
  <c r="L10" i="3"/>
  <c r="L26" i="3"/>
  <c r="N39" i="3" l="1"/>
  <c r="L39" i="3"/>
  <c r="L3" i="3"/>
  <c r="L36" i="3" l="1"/>
  <c r="L43" i="3"/>
  <c r="L37" i="3"/>
  <c r="L44" i="3"/>
  <c r="L12" i="3" l="1"/>
  <c r="L4" i="3"/>
  <c r="L6" i="3"/>
  <c r="L5" i="3"/>
  <c r="L42" i="3"/>
  <c r="L16" i="3"/>
  <c r="L9" i="3"/>
  <c r="L28" i="3" l="1"/>
  <c r="N40" i="3"/>
  <c r="L41" i="3"/>
  <c r="L40" i="3"/>
  <c r="L29" i="3"/>
  <c r="L27" i="3"/>
  <c r="L11" i="3"/>
  <c r="N2" i="1" l="1"/>
  <c r="L184" i="1" l="1"/>
  <c r="L185" i="1"/>
  <c r="L182" i="1"/>
  <c r="L183" i="1"/>
  <c r="L180" i="1"/>
  <c r="L181" i="1"/>
  <c r="L179" i="1"/>
  <c r="L2" i="1"/>
  <c r="L177" i="1"/>
  <c r="L178" i="1"/>
  <c r="L175" i="1"/>
  <c r="L176" i="1"/>
  <c r="L173" i="1"/>
  <c r="L174" i="1"/>
  <c r="L171" i="1"/>
  <c r="L172" i="1"/>
  <c r="L169" i="1"/>
  <c r="L170" i="1"/>
  <c r="L167" i="1"/>
  <c r="L168" i="1"/>
  <c r="L165" i="1"/>
  <c r="L166" i="1"/>
  <c r="L163" i="1"/>
  <c r="L164" i="1"/>
  <c r="L161" i="1"/>
  <c r="L162" i="1"/>
  <c r="L159" i="1"/>
  <c r="L160" i="1"/>
  <c r="L157" i="1"/>
  <c r="L158" i="1"/>
  <c r="L155" i="1"/>
  <c r="L156" i="1"/>
  <c r="L153" i="1"/>
  <c r="L154" i="1"/>
  <c r="L151" i="1"/>
  <c r="L152" i="1"/>
  <c r="L149" i="1"/>
  <c r="L150" i="1"/>
  <c r="L147" i="1"/>
  <c r="L148" i="1"/>
  <c r="L145" i="1"/>
  <c r="L146" i="1"/>
  <c r="L141" i="1"/>
  <c r="L142" i="1"/>
  <c r="L139" i="1"/>
  <c r="L140" i="1"/>
  <c r="L137" i="1"/>
  <c r="L138" i="1"/>
  <c r="L135" i="1"/>
  <c r="L136" i="1"/>
  <c r="L133" i="1"/>
  <c r="L134" i="1"/>
  <c r="L131" i="1"/>
  <c r="L132" i="1"/>
  <c r="L129" i="1"/>
  <c r="L130" i="1"/>
  <c r="L126" i="1"/>
  <c r="L128" i="1"/>
  <c r="L127" i="1"/>
  <c r="L124" i="1"/>
  <c r="L123" i="1"/>
  <c r="L122" i="1"/>
  <c r="L125" i="1"/>
  <c r="L121" i="1"/>
  <c r="L120" i="1"/>
  <c r="L119" i="1"/>
  <c r="L118" i="1"/>
  <c r="L117" i="1"/>
  <c r="L115" i="1"/>
  <c r="L114" i="1"/>
  <c r="L116" i="1"/>
  <c r="L113" i="1"/>
  <c r="L111" i="1"/>
  <c r="L112" i="1"/>
  <c r="L110" i="1"/>
  <c r="L109" i="1"/>
  <c r="L105" i="1"/>
  <c r="L108" i="1"/>
  <c r="L107" i="1"/>
  <c r="L106" i="1"/>
  <c r="L104" i="1"/>
  <c r="L103" i="1"/>
  <c r="L102" i="1"/>
  <c r="L101" i="1"/>
  <c r="L100" i="1"/>
  <c r="L99" i="1"/>
  <c r="L98" i="1"/>
  <c r="L97" i="1"/>
  <c r="L96" i="1"/>
  <c r="L93" i="1"/>
  <c r="L95" i="1"/>
  <c r="L94" i="1"/>
  <c r="L92" i="1"/>
  <c r="L88" i="1"/>
  <c r="L91" i="1"/>
  <c r="L90" i="1"/>
  <c r="L89" i="1"/>
  <c r="L87" i="1"/>
  <c r="L86" i="1"/>
  <c r="L85" i="1"/>
  <c r="L84" i="1"/>
  <c r="L82" i="1"/>
  <c r="L81" i="1"/>
  <c r="L80" i="1"/>
  <c r="L83" i="1"/>
  <c r="L79" i="1"/>
  <c r="L78" i="1"/>
  <c r="L77" i="1"/>
  <c r="L76" i="1"/>
  <c r="L75" i="1"/>
  <c r="L74" i="1"/>
  <c r="L73" i="1"/>
  <c r="L72" i="1"/>
  <c r="L70" i="1"/>
  <c r="L71" i="1"/>
  <c r="L69" i="1"/>
  <c r="L68" i="1"/>
  <c r="L66" i="1"/>
  <c r="L67" i="1"/>
  <c r="L65" i="1"/>
  <c r="L64" i="1"/>
  <c r="L63" i="1"/>
  <c r="L62" i="1"/>
  <c r="L60" i="1"/>
  <c r="L61" i="1"/>
  <c r="L52" i="1"/>
  <c r="L51" i="1"/>
  <c r="L59" i="1"/>
  <c r="L55" i="1"/>
  <c r="L58" i="1"/>
  <c r="L54" i="1"/>
  <c r="L57" i="1"/>
  <c r="L56" i="1"/>
  <c r="L53" i="1"/>
  <c r="L38" i="1"/>
  <c r="L39" i="1"/>
  <c r="L9" i="1" l="1"/>
  <c r="L10" i="1"/>
  <c r="L11" i="1"/>
  <c r="L12" i="1"/>
  <c r="L13" i="1"/>
  <c r="L16" i="1"/>
  <c r="L17" i="1"/>
  <c r="L18" i="1"/>
  <c r="L19" i="1"/>
  <c r="L20" i="1"/>
  <c r="L21" i="1"/>
  <c r="L8" i="1"/>
  <c r="L14" i="1"/>
  <c r="L15" i="1"/>
  <c r="L47" i="1"/>
  <c r="L48" i="1"/>
  <c r="L49" i="1"/>
  <c r="L50" i="1"/>
  <c r="L35" i="1"/>
  <c r="L36" i="1"/>
  <c r="L37" i="1"/>
  <c r="L40" i="1"/>
  <c r="L41" i="1"/>
  <c r="L42" i="1"/>
  <c r="L43" i="1"/>
  <c r="L44" i="1"/>
  <c r="L45" i="1"/>
  <c r="L46" i="1"/>
  <c r="L25" i="1"/>
  <c r="L26" i="1"/>
  <c r="L27" i="1"/>
  <c r="L28" i="1"/>
  <c r="L29" i="1"/>
  <c r="L30" i="1"/>
  <c r="L31" i="1"/>
  <c r="L32" i="1"/>
  <c r="L33" i="1"/>
  <c r="L34" i="1"/>
  <c r="L22" i="1"/>
  <c r="L23" i="1"/>
  <c r="L24" i="1"/>
  <c r="L3" i="1"/>
  <c r="L4" i="1"/>
  <c r="L5" i="1"/>
  <c r="L6" i="1"/>
  <c r="L7" i="1"/>
  <c r="J9" i="2"/>
  <c r="M7" i="2"/>
  <c r="J7" i="2"/>
  <c r="G7" i="2"/>
  <c r="I5" i="2"/>
</calcChain>
</file>

<file path=xl/sharedStrings.xml><?xml version="1.0" encoding="utf-8"?>
<sst xmlns="http://schemas.openxmlformats.org/spreadsheetml/2006/main" count="3133" uniqueCount="1169">
  <si>
    <t>Motorista</t>
  </si>
  <si>
    <t>Ordem</t>
  </si>
  <si>
    <t>Cubagem</t>
  </si>
  <si>
    <t>Tipo de veículo</t>
  </si>
  <si>
    <t>ORDEM DE CARREGAMENTO</t>
  </si>
  <si>
    <t>Placa Cavalo</t>
  </si>
  <si>
    <t>Placa Carreta</t>
  </si>
  <si>
    <t>PLACA CAVALO:</t>
  </si>
  <si>
    <t>PLACA CARRETA:</t>
  </si>
  <si>
    <t>TIPO DE VEÍCULO:</t>
  </si>
  <si>
    <t>MOTORISTA:</t>
  </si>
  <si>
    <t>Nº:</t>
  </si>
  <si>
    <t>TIPO DE CARGA:</t>
  </si>
  <si>
    <t>CUBAGEM:</t>
  </si>
  <si>
    <t>AJUDANTES:</t>
  </si>
  <si>
    <t>HORA INICIO:</t>
  </si>
  <si>
    <t>HORA FINAL:</t>
  </si>
  <si>
    <t>OCORRÊNCIAS DO CARREGAMENTO:</t>
  </si>
  <si>
    <t>CONFERENTE 1:</t>
  </si>
  <si>
    <t>QTD VOLS FEITA:</t>
  </si>
  <si>
    <t>DATA 1:</t>
  </si>
  <si>
    <t>CONFERENTE 2:</t>
  </si>
  <si>
    <t>DATA 2:</t>
  </si>
  <si>
    <t>Assinatura do conferente</t>
  </si>
  <si>
    <t>___________________________________</t>
  </si>
  <si>
    <t>Assinatura do motorista</t>
  </si>
  <si>
    <t>OBSERVAÇÕES DO CARREGAMENTO (CAMPO PREENCHIDO PELO ROTEIRIZADOR):</t>
  </si>
  <si>
    <t>Declaro para os efeitos legais, que recebi nesta data os produtos e os conhecimentos de transportes acima identificados e estou ciente que não serão aceitas reclamações por qualquer dano, quebra ou falta de mercadoria após saida do veículo no pátio do CD, além das notificadas acima.</t>
  </si>
  <si>
    <t>CPF:</t>
  </si>
  <si>
    <t>CPF</t>
  </si>
  <si>
    <t>AGREGADO</t>
  </si>
  <si>
    <t>JSU4E56</t>
  </si>
  <si>
    <t>BONGO</t>
  </si>
  <si>
    <t>02 PALLETS</t>
  </si>
  <si>
    <t>6,5M³</t>
  </si>
  <si>
    <t>1500KG</t>
  </si>
  <si>
    <t>ADILTON OLIVEIRA DA MOTA JUNIOR</t>
  </si>
  <si>
    <t>NTQ8I12</t>
  </si>
  <si>
    <t>6M³</t>
  </si>
  <si>
    <t>AVULSO</t>
  </si>
  <si>
    <t>NYW0F97</t>
  </si>
  <si>
    <t>ALAN LOBO ALMEIDA</t>
  </si>
  <si>
    <t>NYM5D86</t>
  </si>
  <si>
    <t>VUC</t>
  </si>
  <si>
    <t>11M³</t>
  </si>
  <si>
    <t>ALEX DOS SANTOS LIMA</t>
  </si>
  <si>
    <t>MDN7088</t>
  </si>
  <si>
    <t>TOCO</t>
  </si>
  <si>
    <t>12 PALETES</t>
  </si>
  <si>
    <t>40M³</t>
  </si>
  <si>
    <t>8.000KG</t>
  </si>
  <si>
    <t>ANDERSON SACRAMENTO SOUZA</t>
  </si>
  <si>
    <t>JQB8A20</t>
  </si>
  <si>
    <t>08 PALETES</t>
  </si>
  <si>
    <t>18M³</t>
  </si>
  <si>
    <t>3700KG</t>
  </si>
  <si>
    <t>ANTONIO HIGINO FERRIERA DO COUTO</t>
  </si>
  <si>
    <t>JPC2189</t>
  </si>
  <si>
    <t>4.000KG</t>
  </si>
  <si>
    <t>JQZ0383</t>
  </si>
  <si>
    <t>03 PALLETS</t>
  </si>
  <si>
    <t>8M³</t>
  </si>
  <si>
    <t>DAVI DIAS DOS SANTOS</t>
  </si>
  <si>
    <t>PKA8F07</t>
  </si>
  <si>
    <t>2.000 KG</t>
  </si>
  <si>
    <t>NZR4D82</t>
  </si>
  <si>
    <t>TRUCK</t>
  </si>
  <si>
    <t>16 PALETES</t>
  </si>
  <si>
    <t>50M³</t>
  </si>
  <si>
    <t>ELIECE SANTOS TRINDADE</t>
  </si>
  <si>
    <t>OVC9379</t>
  </si>
  <si>
    <t>ERNANES BATISTA DE JESUS</t>
  </si>
  <si>
    <t>FIORINO</t>
  </si>
  <si>
    <t>01 PALETE</t>
  </si>
  <si>
    <t>1,9M³</t>
  </si>
  <si>
    <t>600KG</t>
  </si>
  <si>
    <t>OVD6F23</t>
  </si>
  <si>
    <t>FRANCISCO SOUZA</t>
  </si>
  <si>
    <t>OZK6977</t>
  </si>
  <si>
    <t>FREDSON SILVA OLIVEIRA</t>
  </si>
  <si>
    <t>JKW3F65</t>
  </si>
  <si>
    <t>14M³</t>
  </si>
  <si>
    <t>3000KG</t>
  </si>
  <si>
    <t>GABRIEL DE ALMEIDA SILVA</t>
  </si>
  <si>
    <t>OZI2044</t>
  </si>
  <si>
    <t>IRANILDO CUSTODIO DA SILVA</t>
  </si>
  <si>
    <t>JNW9962</t>
  </si>
  <si>
    <t>06 PALETES</t>
  </si>
  <si>
    <t>13M³</t>
  </si>
  <si>
    <t>3200KG</t>
  </si>
  <si>
    <t>JNW5705</t>
  </si>
  <si>
    <t>6 PALETES</t>
  </si>
  <si>
    <t>3.000KG</t>
  </si>
  <si>
    <t>JONATHAN DE SOUZA SILVA</t>
  </si>
  <si>
    <t>JOL4J67</t>
  </si>
  <si>
    <t>JOSE CARLOS DOS R.S.NETO (netinho)</t>
  </si>
  <si>
    <t>EBM2G48</t>
  </si>
  <si>
    <t>20M3</t>
  </si>
  <si>
    <t>JOSEMAN DE ALMEIDA E SILVA</t>
  </si>
  <si>
    <t>JQI2627</t>
  </si>
  <si>
    <t xml:space="preserve">10 PALETES </t>
  </si>
  <si>
    <t>25M3</t>
  </si>
  <si>
    <t>JOSLAN DELANO DE OLIVEIRA E SILVA</t>
  </si>
  <si>
    <t>JRE2F24</t>
  </si>
  <si>
    <t>NTH3G40</t>
  </si>
  <si>
    <t>LUIZ LOPES DOS SANTOS</t>
  </si>
  <si>
    <t>465.212.085-00</t>
  </si>
  <si>
    <t>HZX5810</t>
  </si>
  <si>
    <t>LUIZ CARLOS DA SILVA NASCIMENTO</t>
  </si>
  <si>
    <t>NYI4137</t>
  </si>
  <si>
    <t xml:space="preserve">MANOEL LEAL DA SILVA </t>
  </si>
  <si>
    <t>BWT8A59</t>
  </si>
  <si>
    <t>3.300KG</t>
  </si>
  <si>
    <t>MARCOS ANTONIO C. CLEMENTINO</t>
  </si>
  <si>
    <t>OZQ7034</t>
  </si>
  <si>
    <t xml:space="preserve">MARCOS VINICIUS COSTA DOS SANTOS </t>
  </si>
  <si>
    <t>OZJ6A79</t>
  </si>
  <si>
    <t>MYF3555</t>
  </si>
  <si>
    <t>10 PALETES</t>
  </si>
  <si>
    <t>MATEUS DE JESUS DOS SANTOS</t>
  </si>
  <si>
    <t>JQB8H94</t>
  </si>
  <si>
    <t>13M3</t>
  </si>
  <si>
    <t>NAILSON DE OLIVEIRA SOUZA</t>
  </si>
  <si>
    <t>NYV7789</t>
  </si>
  <si>
    <t>NILSON ARAUJO</t>
  </si>
  <si>
    <t>NME5H78</t>
  </si>
  <si>
    <t>OLG4031</t>
  </si>
  <si>
    <t>RIEDSON DOS SANTOS RAMOS</t>
  </si>
  <si>
    <t>JSU8734</t>
  </si>
  <si>
    <t>PJW9B72</t>
  </si>
  <si>
    <t>RAMILER CERQUEIRA</t>
  </si>
  <si>
    <t>IIZ7212</t>
  </si>
  <si>
    <t>IMP3J87</t>
  </si>
  <si>
    <t>QYP6I13</t>
  </si>
  <si>
    <t>QYM7B91</t>
  </si>
  <si>
    <t>KXS3G25</t>
  </si>
  <si>
    <t>SKG6F77</t>
  </si>
  <si>
    <t>FÉRIAS</t>
  </si>
  <si>
    <t>SKG0C50</t>
  </si>
  <si>
    <t>ILI4E91</t>
  </si>
  <si>
    <t>AQT1E59</t>
  </si>
  <si>
    <t>IVD0C35</t>
  </si>
  <si>
    <t>NZB7A98</t>
  </si>
  <si>
    <t>QYO9B52</t>
  </si>
  <si>
    <t>FROTA</t>
  </si>
  <si>
    <t>3/4</t>
  </si>
  <si>
    <t>SPRINTER</t>
  </si>
  <si>
    <t>CARRETA</t>
  </si>
  <si>
    <t>22 PALETES</t>
  </si>
  <si>
    <t>14 PALETES</t>
  </si>
  <si>
    <t>28 PALETES</t>
  </si>
  <si>
    <t>50M3</t>
  </si>
  <si>
    <t>15.000KG</t>
  </si>
  <si>
    <t>100M³</t>
  </si>
  <si>
    <t>15M³</t>
  </si>
  <si>
    <t>45M³</t>
  </si>
  <si>
    <t>ITC1E10</t>
  </si>
  <si>
    <t>LLX8928</t>
  </si>
  <si>
    <t>TERENCIO GOMES CALDAS</t>
  </si>
  <si>
    <t>NZB5H06</t>
  </si>
  <si>
    <t>JPY5B93</t>
  </si>
  <si>
    <t xml:space="preserve">MOTORISTAS CASA </t>
  </si>
  <si>
    <t>PLACA</t>
  </si>
  <si>
    <t>TIPO</t>
  </si>
  <si>
    <t>HARRY STOHR</t>
  </si>
  <si>
    <t>IFG8572</t>
  </si>
  <si>
    <t>IFN5490</t>
  </si>
  <si>
    <t>30 PALETES</t>
  </si>
  <si>
    <t>FLAVIO OLIVEIRA MEDEIROS</t>
  </si>
  <si>
    <t>038.973.605-86</t>
  </si>
  <si>
    <t>GBP5G56</t>
  </si>
  <si>
    <t>EMU0I83</t>
  </si>
  <si>
    <t>JOSIVAN FERREIRA BARRETO</t>
  </si>
  <si>
    <t>JOU0200</t>
  </si>
  <si>
    <t>KDT9041</t>
  </si>
  <si>
    <t>MADSON DE SANTANA</t>
  </si>
  <si>
    <t>QPX5E24</t>
  </si>
  <si>
    <t>015.775.405-73</t>
  </si>
  <si>
    <t>FFA1G04</t>
  </si>
  <si>
    <t>24M³</t>
  </si>
  <si>
    <t>021.680.195-84</t>
  </si>
  <si>
    <t>FSA</t>
  </si>
  <si>
    <t>JOSE CLEBER</t>
  </si>
  <si>
    <t>AUM2D96</t>
  </si>
  <si>
    <t>JQS5E79</t>
  </si>
  <si>
    <t>AUGUSTO RIBEIRO ROCHA</t>
  </si>
  <si>
    <t>YURI NOVAES DOS SANTOS</t>
  </si>
  <si>
    <t>JOELSON LOPES DA CUNHA</t>
  </si>
  <si>
    <t>NTQ4686</t>
  </si>
  <si>
    <t>DEX0B37</t>
  </si>
  <si>
    <t>DENIVISON DOS SANTOS REGO</t>
  </si>
  <si>
    <t>LUCIANO DA SILVA</t>
  </si>
  <si>
    <t>MBE2204</t>
  </si>
  <si>
    <t>MIGUEL ALMEIDA DA SILVA</t>
  </si>
  <si>
    <t>JLN7238</t>
  </si>
  <si>
    <t>BTT4792</t>
  </si>
  <si>
    <t>JORGE SANTOS JESUS</t>
  </si>
  <si>
    <t xml:space="preserve"> </t>
  </si>
  <si>
    <t>JRK5J77</t>
  </si>
  <si>
    <t>PAULO HENRIQUE SANTOS REIS</t>
  </si>
  <si>
    <t>AAW9F45</t>
  </si>
  <si>
    <t>CLK6104</t>
  </si>
  <si>
    <t>LINDOMAR SOUZA ALMEIDA</t>
  </si>
  <si>
    <t>LINDOMAR ALVES FERREIRA</t>
  </si>
  <si>
    <t>ARQ8B06</t>
  </si>
  <si>
    <t>PKT7A74</t>
  </si>
  <si>
    <t>RICARDO OLEGARIO DOS SANTOS</t>
  </si>
  <si>
    <t>EYQ9B59</t>
  </si>
  <si>
    <t>TJT6E55</t>
  </si>
  <si>
    <t>IGE7B86</t>
  </si>
  <si>
    <t>BJB2H17</t>
  </si>
  <si>
    <t>MARCIO ALVES LUSTOSA</t>
  </si>
  <si>
    <t>DANIEL ALVES DA SILVA</t>
  </si>
  <si>
    <t>NWL8H70</t>
  </si>
  <si>
    <t>BYH0I82</t>
  </si>
  <si>
    <t>JSP7634</t>
  </si>
  <si>
    <t>LEONARDO SANTOS NASCIMENTO</t>
  </si>
  <si>
    <t>LUIZ FRANCISCO DE LIMA</t>
  </si>
  <si>
    <t>MUO6C46</t>
  </si>
  <si>
    <t>RONILTON DOS SANTOS</t>
  </si>
  <si>
    <t>LVB6J83</t>
  </si>
  <si>
    <t>ANTONIO MARCOS GOMES DE FREITAS</t>
  </si>
  <si>
    <t>JOA5C32</t>
  </si>
  <si>
    <t>REGIÃO</t>
  </si>
  <si>
    <t>JOSE JURANDY DOS SANTOS SANTANA</t>
  </si>
  <si>
    <t>MAGNO DOS SANTOS</t>
  </si>
  <si>
    <t>CVN1916</t>
  </si>
  <si>
    <t>JOAO MARCOS DE SOUZA PINHEIRO</t>
  </si>
  <si>
    <t>QUQ8H25</t>
  </si>
  <si>
    <t>RMS8C42</t>
  </si>
  <si>
    <t>CESAR AUGUSTO MONTEIRO BRANDAO</t>
  </si>
  <si>
    <t>MOACIR DOS SANTOS BRITO JUNIOR</t>
  </si>
  <si>
    <t>NAILSON DOS SANTOS ARAUJO</t>
  </si>
  <si>
    <t>JOZ2070</t>
  </si>
  <si>
    <t>VOLUME</t>
  </si>
  <si>
    <t>ALISSON DA PENHA SOBRAL</t>
  </si>
  <si>
    <t>QTU1F39</t>
  </si>
  <si>
    <t>VICTOR EDUARDO</t>
  </si>
  <si>
    <t>EOE-5F13</t>
  </si>
  <si>
    <t>BWH-6D33</t>
  </si>
  <si>
    <t>2000KG</t>
  </si>
  <si>
    <t>Capacidade</t>
  </si>
  <si>
    <t>Qntdd Pal.</t>
  </si>
  <si>
    <t>Contato</t>
  </si>
  <si>
    <t>71 98857-1709</t>
  </si>
  <si>
    <t xml:space="preserve"> 71 99121-1061</t>
  </si>
  <si>
    <t>71 98621-6322</t>
  </si>
  <si>
    <t>71 98839-3390</t>
  </si>
  <si>
    <t xml:space="preserve"> 71 99130-2271</t>
  </si>
  <si>
    <t>71 98733-3286</t>
  </si>
  <si>
    <t>71 98507-4711</t>
  </si>
  <si>
    <t>71 98631-9388</t>
  </si>
  <si>
    <t>71 98875-5339</t>
  </si>
  <si>
    <t>71 98875-3522</t>
  </si>
  <si>
    <t>71 98529-3225</t>
  </si>
  <si>
    <t>71 98692-2580</t>
  </si>
  <si>
    <t>71 99682-0577</t>
  </si>
  <si>
    <t>CAPACIDADE</t>
  </si>
  <si>
    <t>OCUPAÇÃO</t>
  </si>
  <si>
    <t>FRETE REAL</t>
  </si>
  <si>
    <t>M³</t>
  </si>
  <si>
    <t>ENTREGAS</t>
  </si>
  <si>
    <t>ORDEM DE ENTREGA</t>
  </si>
  <si>
    <t>JEFFERSON CERQUEIRA</t>
  </si>
  <si>
    <t>BRZ7768</t>
  </si>
  <si>
    <t>579.462.215-68</t>
  </si>
  <si>
    <t>18.000KG</t>
  </si>
  <si>
    <t>DENIVISON REGO</t>
  </si>
  <si>
    <t>MARIVALDO DOS SANTOS</t>
  </si>
  <si>
    <t>JRX-2B57</t>
  </si>
  <si>
    <t>RAFAEL DOS SANTOS</t>
  </si>
  <si>
    <t>MJG2C29</t>
  </si>
  <si>
    <t>14 PALLETS</t>
  </si>
  <si>
    <t>MARIVALDO DOS SANTOS DE OLIVEIRA</t>
  </si>
  <si>
    <t>71 99626-2827</t>
  </si>
  <si>
    <t>Buonny</t>
  </si>
  <si>
    <t>71 99913-1288</t>
  </si>
  <si>
    <t>71 98659-6800</t>
  </si>
  <si>
    <t>71 99283-5000</t>
  </si>
  <si>
    <t>33M³</t>
  </si>
  <si>
    <t>71 98133-6791</t>
  </si>
  <si>
    <t>71 99265-9621</t>
  </si>
  <si>
    <t>71 98504-5328</t>
  </si>
  <si>
    <t>71 99940-0718</t>
  </si>
  <si>
    <t>71 98894-3876</t>
  </si>
  <si>
    <t>71 98326-4918</t>
  </si>
  <si>
    <t>71 99978-6237</t>
  </si>
  <si>
    <t>71 99209-9846</t>
  </si>
  <si>
    <t>71 99328-1500</t>
  </si>
  <si>
    <t>71 99600-4170</t>
  </si>
  <si>
    <t>LUCAS SANTOS</t>
  </si>
  <si>
    <t>71 98211-6185</t>
  </si>
  <si>
    <t>JOÃO MOREIRA SANTOS JUNIOR</t>
  </si>
  <si>
    <t>71 99192-2006</t>
  </si>
  <si>
    <t>60M³</t>
  </si>
  <si>
    <t>35 99770-0439</t>
  </si>
  <si>
    <t>71 99939-5955</t>
  </si>
  <si>
    <t>71 99163-0759</t>
  </si>
  <si>
    <t>71 99407-8833</t>
  </si>
  <si>
    <t>71 99130-6007</t>
  </si>
  <si>
    <t>71 99635-3407</t>
  </si>
  <si>
    <t>NILVÃ COSTA AGUIAR</t>
  </si>
  <si>
    <t>71 99363-2905</t>
  </si>
  <si>
    <t>79 98837-8331</t>
  </si>
  <si>
    <t>71 98849-4021</t>
  </si>
  <si>
    <t>WELLINGTON SANTANA ARAUJO</t>
  </si>
  <si>
    <t>26M³</t>
  </si>
  <si>
    <t>75 98330-0539</t>
  </si>
  <si>
    <t>75 99148-0960</t>
  </si>
  <si>
    <t>71 99639-0478</t>
  </si>
  <si>
    <t>42M³</t>
  </si>
  <si>
    <t>75 99290-7798</t>
  </si>
  <si>
    <t>1 PALLET</t>
  </si>
  <si>
    <t>1,7M³</t>
  </si>
  <si>
    <t>71 99135-6553</t>
  </si>
  <si>
    <t>71 98854-9592</t>
  </si>
  <si>
    <t>71 98644-1215</t>
  </si>
  <si>
    <t>75 98216-3768</t>
  </si>
  <si>
    <t>71 98243-8022</t>
  </si>
  <si>
    <t>20 PALETES</t>
  </si>
  <si>
    <t>71 99133-9376</t>
  </si>
  <si>
    <t>75 99100-7778</t>
  </si>
  <si>
    <t>76M³</t>
  </si>
  <si>
    <t>71 99159-7094</t>
  </si>
  <si>
    <t>11 94768-0901</t>
  </si>
  <si>
    <t>71 98303-9960</t>
  </si>
  <si>
    <t>71 99716-2851</t>
  </si>
  <si>
    <t>TERCEIRO</t>
  </si>
  <si>
    <t>8 PALETES</t>
  </si>
  <si>
    <t>25M³</t>
  </si>
  <si>
    <t>AUGUSTO RIBEIRO</t>
  </si>
  <si>
    <t>ARGONIO CARVALHO</t>
  </si>
  <si>
    <t>TMO7D89</t>
  </si>
  <si>
    <t>MQQ4F35</t>
  </si>
  <si>
    <t>5.000KG</t>
  </si>
  <si>
    <t>Nunca Renovar</t>
  </si>
  <si>
    <t>Aguardando expiração</t>
  </si>
  <si>
    <t>Agregado</t>
  </si>
  <si>
    <t>WILLIAM SILVA AMORIM</t>
  </si>
  <si>
    <t>WESLEY BORGES DOS SANTOS</t>
  </si>
  <si>
    <t>WELINGTON JOSE DOS SANTOS FILHO</t>
  </si>
  <si>
    <t>WASHINGTON LUIZ DE JESUS</t>
  </si>
  <si>
    <t>VITOR LUCAS RIBEIRO DA ANUNCIACAO</t>
  </si>
  <si>
    <t>VICTOR YURI SOUSA SANTOS</t>
  </si>
  <si>
    <t>VICTOR FERREIRA SANTOS</t>
  </si>
  <si>
    <t>Frota</t>
  </si>
  <si>
    <t>VICTOR EDUARDO DE CARVALHO FRANCA</t>
  </si>
  <si>
    <t>VERINALDO BATISTA DOS SANTOS JUNIOR</t>
  </si>
  <si>
    <t>VANITON DOS SANTOS PEDREIRA</t>
  </si>
  <si>
    <t>VALDIR BARBOSA TEIXEIRA</t>
  </si>
  <si>
    <t>VAGNER GONCALVES PEREIRA</t>
  </si>
  <si>
    <t>Bloqueado por restrições</t>
  </si>
  <si>
    <t>UEVERTON DIAS SANTOS</t>
  </si>
  <si>
    <t>UANDERSON DOS SANTOS SILVA</t>
  </si>
  <si>
    <t>TIAGO NASCIMENTO DE SOUZA</t>
  </si>
  <si>
    <t>THIARLES INACIO DOS SANTOS</t>
  </si>
  <si>
    <t>TAILSON DE SANTANA DO ESPIRITO SANTO</t>
  </si>
  <si>
    <t>SOCRATES SANTOS VANDERLEY</t>
  </si>
  <si>
    <t>SIVALDO CORDEIRO SILVA</t>
  </si>
  <si>
    <t>SERGIO SILVA OLIVEIRA</t>
  </si>
  <si>
    <t>SERGIO CONCEICAO DE JESUS</t>
  </si>
  <si>
    <t>SADRAQUE LIMA CESAR</t>
  </si>
  <si>
    <t>ROGERIO SILVA DA CRUZ</t>
  </si>
  <si>
    <t>ROGERIO DANTAS DE SOUZA</t>
  </si>
  <si>
    <t>ROBERLEY DE JESUS LIMA</t>
  </si>
  <si>
    <t>RICARDO RAMOS OLIVEIRA</t>
  </si>
  <si>
    <t>RICARDO DE ARAUJO MACEDO</t>
  </si>
  <si>
    <t>RICARDO COSTA DE JESUS</t>
  </si>
  <si>
    <t>REINOLANDO DE JESUS</t>
  </si>
  <si>
    <t>REINALDO XAVIER DE OLIVEIRA</t>
  </si>
  <si>
    <t>REINALDO OLIVEIRA BORGES</t>
  </si>
  <si>
    <t>REGINALDO JOSE NOGUEIRA RAMOS</t>
  </si>
  <si>
    <t>RAQUEL BACELAR DE OLIVEIRA</t>
  </si>
  <si>
    <t>RANIELE DOS VALES DA SILVA</t>
  </si>
  <si>
    <t>RAMILER CERQUEIRA SOUZA</t>
  </si>
  <si>
    <t>RAIMUNDO NONATO BARROS GOMES</t>
  </si>
  <si>
    <t>RAILAN DOS SANTOS BISPO</t>
  </si>
  <si>
    <t>RAFAEL MOLEIRO LIMA DE CARVALHO</t>
  </si>
  <si>
    <t xml:space="preserve">RAFAEL DOS SANTOS </t>
  </si>
  <si>
    <t>RAFAEL CARVALHO DA SILVA</t>
  </si>
  <si>
    <t>PERICLES RODRIGUES DA FRANCA</t>
  </si>
  <si>
    <t>PEDRO HENRIQUE BATISTA FERNANDES</t>
  </si>
  <si>
    <t>PAULO HENRIQUE PIRES DE BRITO</t>
  </si>
  <si>
    <t>ODAHI FIUZA DA CONCEICAO</t>
  </si>
  <si>
    <t>NEDILSON DIAS MURICY</t>
  </si>
  <si>
    <t>NAILTON MENEZES SANTOS</t>
  </si>
  <si>
    <t>MISAEL DE JESUS SANTOS</t>
  </si>
  <si>
    <t>MICHAEL KESLEY SANTANA SANTOS</t>
  </si>
  <si>
    <t>MAURICIO SILVA DOS SANTOS</t>
  </si>
  <si>
    <t>Profissional de Logística</t>
  </si>
  <si>
    <t>MATHEUS FONSECA DO CARMO</t>
  </si>
  <si>
    <t>MARIVALDO SANTOS DE OLIVEIRA</t>
  </si>
  <si>
    <t>MARIVALDO FIGUEREDO FIUZA</t>
  </si>
  <si>
    <t>MARIVALDO DOS SANTOS CONCEICAO</t>
  </si>
  <si>
    <t>MARCUS VINICIUS PEREIRA LIMA</t>
  </si>
  <si>
    <t>MARCOS VINICIUS COSTA DOS SANTOS</t>
  </si>
  <si>
    <t>MARCOS VINICIO ARAUJO DA HORA</t>
  </si>
  <si>
    <t>MARCOS SOEL SENA DE SOUZA</t>
  </si>
  <si>
    <t>MARCOS PINHEIRO DE SOUZA</t>
  </si>
  <si>
    <t>MARCOS PAULO ROCHA SOARES</t>
  </si>
  <si>
    <t>MARCOS NOGUEIRA VALVERDE DOS SANTOS</t>
  </si>
  <si>
    <t>MARCOS CRUZ DE OLIVEIRA</t>
  </si>
  <si>
    <t>MARCO ANTONIO CASTRO CLEMENTINO</t>
  </si>
  <si>
    <t>MARCIO FABIO DE SOUSA AZEVEDO</t>
  </si>
  <si>
    <t>MARCELO GOMES BORGES</t>
  </si>
  <si>
    <t>MARCELO FIGUEREDO FIUZA</t>
  </si>
  <si>
    <t>MANOEL LEAL DA SILVA</t>
  </si>
  <si>
    <t>MANFREDO QUEIROZ FILHO</t>
  </si>
  <si>
    <t>MAICON DE LIMA SILVA</t>
  </si>
  <si>
    <t>MADSON DE SANTANA MATOS</t>
  </si>
  <si>
    <t>LUIZ FABIO SANTOS MAIA</t>
  </si>
  <si>
    <t>LUIZ CARLOS AGOSTINHO BISPO</t>
  </si>
  <si>
    <t>LUIS SANTANA FAGUNDES</t>
  </si>
  <si>
    <t>LUIS FERNANDO DOS SANTOS SOUZA</t>
  </si>
  <si>
    <t>LUIS ALBERTO BARBOSA DOS SANTOS</t>
  </si>
  <si>
    <t>LUCIANO SENA BARBOSA</t>
  </si>
  <si>
    <t>LUCIANO FERREIRA SANTOS</t>
  </si>
  <si>
    <t>LIOMANDO SANTOS ARAUJO</t>
  </si>
  <si>
    <t>LINDOMAR SANTOS SOUZA</t>
  </si>
  <si>
    <t>LEONARDO SOUSA DOS REIS</t>
  </si>
  <si>
    <t>LEDSON CRISTIANO SOARES DA SILVA</t>
  </si>
  <si>
    <t>JURACI ALVES RIOS</t>
  </si>
  <si>
    <t>JUAREZ LIMA CERQUEIRA</t>
  </si>
  <si>
    <t>JOSMAR PEREIRA DE CASTRO</t>
  </si>
  <si>
    <t>JOSENILTON CARVALHO</t>
  </si>
  <si>
    <t>JOSENILSON LOPES CORTES</t>
  </si>
  <si>
    <t>JOSÉ RIBEIRO DE ALMEIDA</t>
  </si>
  <si>
    <t>JOSE ODACY BRAZ DE OLIVEIRA</t>
  </si>
  <si>
    <t>JOSE NOBIO CARNEIRO RIOS</t>
  </si>
  <si>
    <t>JOSE HELIO REIS NUNES</t>
  </si>
  <si>
    <t>JOSE ELIODORIO DA CRUZ BISPO</t>
  </si>
  <si>
    <t>JOSE CLEBER TRAJANO DO AMARAL</t>
  </si>
  <si>
    <t>JOSE CARLOS REZENDE DA SILVA</t>
  </si>
  <si>
    <t>JOSE CARLOS DOS REIS SANTOS NETO</t>
  </si>
  <si>
    <t>JOSE BARBOZA DA SILVA</t>
  </si>
  <si>
    <t>JOIR OLIVEIRA SILVA</t>
  </si>
  <si>
    <t>JOILSON SOARES DE OLIVEIRA</t>
  </si>
  <si>
    <t>JOEL SANTOS SILVA</t>
  </si>
  <si>
    <t>JOAO VITOR DOS SANTOS SILVA</t>
  </si>
  <si>
    <t>JOAO PAULO RODRIGUES DA SILVA</t>
  </si>
  <si>
    <t>JOAO MOREIRA DOS SANTOS JUNIOR</t>
  </si>
  <si>
    <t>JOAO GOMES DE FREITAS JUNIOR</t>
  </si>
  <si>
    <t>JOAO FRANCISCO CEDRAZ CORDEIRO</t>
  </si>
  <si>
    <t>JEFERSON FERREIRA SANTOS</t>
  </si>
  <si>
    <t>JEAN LUIS DA SILVA</t>
  </si>
  <si>
    <t>JADSON CAVALCANTE MARQUES FILHO</t>
  </si>
  <si>
    <t>IVANILDO DOS REIS PEREIRA</t>
  </si>
  <si>
    <t>IVAN SANTOS DE JESUS</t>
  </si>
  <si>
    <t>IVALDO DE MATOS SILVA</t>
  </si>
  <si>
    <t>IURE SILVA DOS SANTOS BARRETO</t>
  </si>
  <si>
    <t>ISMERAI RIBEIRO SOUZA</t>
  </si>
  <si>
    <t>IGOR SA DE OLIVEIRA</t>
  </si>
  <si>
    <t>IAGO BRITO DE CERQUEIRA DOS SANTOS</t>
  </si>
  <si>
    <t>GUSTAVO TEIXEIRA CONCEIÇÃO</t>
  </si>
  <si>
    <t>GLEDVAN BARBOSA DE ALMEIDA</t>
  </si>
  <si>
    <t>GISBELLY ALVES BATISTA</t>
  </si>
  <si>
    <t>GIOVANI BATISTA FIGUEIREDO</t>
  </si>
  <si>
    <t>GERSON SOUZA MASCARENHAS</t>
  </si>
  <si>
    <t>GENILSON REIS MASCARENHAS</t>
  </si>
  <si>
    <t>FRANCISCO SOUZA DOS SANTOS JUNIOR</t>
  </si>
  <si>
    <t>FRANCISCO JOSE FREIRE CRUZ</t>
  </si>
  <si>
    <t>FABRICIO SANTANA LIMA</t>
  </si>
  <si>
    <t>FABRICIO DE JESUS DOS SANTOS</t>
  </si>
  <si>
    <t>FABIO SANTOS DA SILVA</t>
  </si>
  <si>
    <t>FABIO JOSE MENDES DOS SANTOS</t>
  </si>
  <si>
    <t>FABIAN DOS SANTOS GOMES</t>
  </si>
  <si>
    <t>EVANILDO FERREIRA DE JESUS</t>
  </si>
  <si>
    <t>EUSTAQUIO SANTANA MARQUES</t>
  </si>
  <si>
    <t>EUMARIO FERREIRA DE OLIVEIRA</t>
  </si>
  <si>
    <t>ESMERALDINO RIBEIRO DOS SANTOS FILHO</t>
  </si>
  <si>
    <t>ERIVELTON MELO DE JESUS</t>
  </si>
  <si>
    <t>ERIKLIS ANDRADE CONCEICAO</t>
  </si>
  <si>
    <t>ELVIS SILVA CAMPOS</t>
  </si>
  <si>
    <t>ELIOMAR DE ARAUJO RIBEIRO</t>
  </si>
  <si>
    <t>ELINALDO ACACIO DE MATOS</t>
  </si>
  <si>
    <t>ELIAS BISPO DO NASCIMENTO FILHO</t>
  </si>
  <si>
    <t>ELDEN DOS SANTOS PEREIRA</t>
  </si>
  <si>
    <t>EDUARDO PEREIRA DA SILVA NETO</t>
  </si>
  <si>
    <t>EDUARDO LIMA DA SILVA</t>
  </si>
  <si>
    <t>EDSON SILVA SOUZA</t>
  </si>
  <si>
    <t>EDMILSON MORAES DE JESUS</t>
  </si>
  <si>
    <t>EDINALDO TEIXEIRA DOS SANTOS</t>
  </si>
  <si>
    <t>DOUGLAS SOUZA DOS SANTOS</t>
  </si>
  <si>
    <t>DENVISON DOS SANTOS REGO</t>
  </si>
  <si>
    <t>DENIZIO ALMEIDA DE JESUS</t>
  </si>
  <si>
    <t>DANILO SILVA DOS SANTOS</t>
  </si>
  <si>
    <t>DANILO QUEIROZ DO NASCIMENTO DA SILVA</t>
  </si>
  <si>
    <t>CRISTOVAO JOSE XAVIER SILVA</t>
  </si>
  <si>
    <t>CLEUZA SILVA DOS SANTOS</t>
  </si>
  <si>
    <t>CLEBER NOECI TORRES DE JESUS</t>
  </si>
  <si>
    <t>CLEBER MAGNO SILVA FARIAS</t>
  </si>
  <si>
    <t>CLAUDIO TELES DE JESUS</t>
  </si>
  <si>
    <t>CARLOS ALBERTO ALVES DA SILVA SOBRINHO</t>
  </si>
  <si>
    <t>CAIQUE ALMEIDA BORGES</t>
  </si>
  <si>
    <t>BRUNO MATOS MORAES MOURA</t>
  </si>
  <si>
    <t>BRIAN SAMPAIO DE CARVALHO ARAUJO</t>
  </si>
  <si>
    <t>BALBINO MASCARENHAS DA COSTA JUNIOR</t>
  </si>
  <si>
    <t>ARTUR CEZAR LUIZ DE SOUZA</t>
  </si>
  <si>
    <t>ARIVAN SAMPAIO ANDRADE</t>
  </si>
  <si>
    <t>ARIVA DOS SANTOS LIMA</t>
  </si>
  <si>
    <t>ARGONIO CARVALHO ABADE</t>
  </si>
  <si>
    <t>ANTONIO NUNES RODRIGUES</t>
  </si>
  <si>
    <t>ANTONIO NERIS DE ARAUJO</t>
  </si>
  <si>
    <t>ANTONIO INACIO DOS REIS FILHO</t>
  </si>
  <si>
    <t>ANTONIO HIGINO FERREIRA DO COUTO</t>
  </si>
  <si>
    <t>ANTONIO BONFIM SILVA SANTOS</t>
  </si>
  <si>
    <t>ANDRE MENDES DE OLIVEIRA</t>
  </si>
  <si>
    <t>ANDERSON SENA FERREIRA</t>
  </si>
  <si>
    <t>ALYSSON FERREIRA DOS SANTOS</t>
  </si>
  <si>
    <t>ALICON DA SILVA TAVARES</t>
  </si>
  <si>
    <t>ALEXSANDRO OLIVEIRA BORGES</t>
  </si>
  <si>
    <t>ALEX SILVA VIEIRA</t>
  </si>
  <si>
    <t>ALAN DELON SOUSA DOS SANTOS</t>
  </si>
  <si>
    <t>AILTON DEIVID DOS REIS SILVA</t>
  </si>
  <si>
    <t>AGNALDO PEREIRA DOS SANTOS</t>
  </si>
  <si>
    <t>AGNALDO PEREIRA BRITO</t>
  </si>
  <si>
    <t>AGNALDO FLORENTINO DE JESUS</t>
  </si>
  <si>
    <t>AGNALDO DOS SANTOS</t>
  </si>
  <si>
    <t>ADEMILTON PEREIRA DOS SANTOS</t>
  </si>
  <si>
    <t>Inclusão da Analíse</t>
  </si>
  <si>
    <t>Opção de Renovação</t>
  </si>
  <si>
    <t>Status da Renovação da analíse</t>
  </si>
  <si>
    <t>Tipo do Contrato</t>
  </si>
  <si>
    <t>Data de Expiração da Ultima Analíse</t>
  </si>
  <si>
    <t>Tipo Profissional</t>
  </si>
  <si>
    <t>Nome</t>
  </si>
  <si>
    <t>Documento</t>
  </si>
  <si>
    <t xml:space="preserve">ADEMILTON PEREIRA DOS SANTOS </t>
  </si>
  <si>
    <t>Valid. Buonny</t>
  </si>
  <si>
    <t>CGR3448</t>
  </si>
  <si>
    <t>TERENCIO GOMES</t>
  </si>
  <si>
    <t>24 PALETES</t>
  </si>
  <si>
    <t>MIVALDO ORENCIO DE ARAUJO AMORIM</t>
  </si>
  <si>
    <t>25.000KG</t>
  </si>
  <si>
    <t xml:space="preserve">LXT8G34 </t>
  </si>
  <si>
    <t>ALEXANDRE GOES SANTOS</t>
  </si>
  <si>
    <t>105M³</t>
  </si>
  <si>
    <t>JXG3D38</t>
  </si>
  <si>
    <t>75 98224-6336</t>
  </si>
  <si>
    <t>21 96499-7019</t>
  </si>
  <si>
    <t>75 98220-4836</t>
  </si>
  <si>
    <t>30M³</t>
  </si>
  <si>
    <t>RPQ2H22</t>
  </si>
  <si>
    <t>IVANILDO CRUZ DOS SANTOS</t>
  </si>
  <si>
    <t>70M³</t>
  </si>
  <si>
    <t>71 99630-5687</t>
  </si>
  <si>
    <t>JMC3014</t>
  </si>
  <si>
    <t>BMF8199</t>
  </si>
  <si>
    <t>JOSELITO PEREIRA DOS SANTOS</t>
  </si>
  <si>
    <t>26 PALETES</t>
  </si>
  <si>
    <t>22.000KG</t>
  </si>
  <si>
    <t>SJT6J57</t>
  </si>
  <si>
    <t xml:space="preserve"> 71 99704-4415</t>
  </si>
  <si>
    <t>ODAIR QUEIROZ MOURA</t>
  </si>
  <si>
    <t>2 PALETES</t>
  </si>
  <si>
    <t>2.000KG</t>
  </si>
  <si>
    <t>ATD0D09</t>
  </si>
  <si>
    <t xml:space="preserve">GILMAR SIISS </t>
  </si>
  <si>
    <t>71 99129-6868</t>
  </si>
  <si>
    <t>OUH3E47</t>
  </si>
  <si>
    <t>CELSO MOREIRA PIMENTEL</t>
  </si>
  <si>
    <t>QUM9A11</t>
  </si>
  <si>
    <t>32 99925-2222</t>
  </si>
  <si>
    <t>NF</t>
  </si>
  <si>
    <t>CUBAGEM</t>
  </si>
  <si>
    <t>PESO (KG)</t>
  </si>
  <si>
    <t>057.580.195-69</t>
  </si>
  <si>
    <t>ROBSON MARQUES BISPO</t>
  </si>
  <si>
    <t>JQS5130</t>
  </si>
  <si>
    <t>49M³</t>
  </si>
  <si>
    <t>10.000KG</t>
  </si>
  <si>
    <t>71 98640-3902</t>
  </si>
  <si>
    <t>SETOR</t>
  </si>
  <si>
    <t>VALDIR DA PAZ VALIM</t>
  </si>
  <si>
    <t>511.652.870-72</t>
  </si>
  <si>
    <t>IZM-9A89</t>
  </si>
  <si>
    <t>IVT-7061</t>
  </si>
  <si>
    <t>100M3</t>
  </si>
  <si>
    <t>51 99512-3657</t>
  </si>
  <si>
    <t>107M3</t>
  </si>
  <si>
    <t>28.000KG</t>
  </si>
  <si>
    <t>054.106.189-55</t>
  </si>
  <si>
    <t>MJV9800</t>
  </si>
  <si>
    <t xml:space="preserve">MME8812 </t>
  </si>
  <si>
    <t>EVERTON APARECIDO BECHTOLD</t>
  </si>
  <si>
    <t>012.626.975-06</t>
  </si>
  <si>
    <t>75 98817-0369</t>
  </si>
  <si>
    <t>769.429.455-87</t>
  </si>
  <si>
    <t>JSE9D62</t>
  </si>
  <si>
    <t>1 PALETE</t>
  </si>
  <si>
    <t>7M³</t>
  </si>
  <si>
    <t>OZO4771</t>
  </si>
  <si>
    <t>742.334.835-04</t>
  </si>
  <si>
    <t>12.000KG</t>
  </si>
  <si>
    <t>AGNALDO MATOS DOS SANTOS</t>
  </si>
  <si>
    <t>276.385.375-72</t>
  </si>
  <si>
    <t>NMA9D16</t>
  </si>
  <si>
    <t>6.000KG</t>
  </si>
  <si>
    <t>71 99704-0998</t>
  </si>
  <si>
    <t>75 99936-0164</t>
  </si>
  <si>
    <t>AGNALDO MATOS</t>
  </si>
  <si>
    <t>CONTATO:</t>
  </si>
  <si>
    <t>ARTUR LUIS QUINTELA SANTOS GOES</t>
  </si>
  <si>
    <t>804.650.565-04</t>
  </si>
  <si>
    <t>NZW9J32</t>
  </si>
  <si>
    <t>71 99122-9711</t>
  </si>
  <si>
    <t>JOSE CARLOS DOS SANTOS</t>
  </si>
  <si>
    <t>ADRIANO VIEIRA DOS SANTOS</t>
  </si>
  <si>
    <t>REINALDO SILVA DE OLIVEIRA</t>
  </si>
  <si>
    <t>JOSE ADILSON OLIVEIRA SILVA SOUSA</t>
  </si>
  <si>
    <t>NILTON MORAES SANTOS</t>
  </si>
  <si>
    <t>WENDEL SALLES EVANGELISTA DE JESUS</t>
  </si>
  <si>
    <t>ELVIS CLECIO PEREIRA SOUZA</t>
  </si>
  <si>
    <t>ANTONIO CESAR DOS SANTOS DA CONCEICAO</t>
  </si>
  <si>
    <t>SIDNEY DA HORA LIMA</t>
  </si>
  <si>
    <t>JOCIVAL PINTO SANTOS</t>
  </si>
  <si>
    <t>GECIMARIO SANTOS DE ALMEIDA</t>
  </si>
  <si>
    <t>107M³</t>
  </si>
  <si>
    <t>11 97537-4848</t>
  </si>
  <si>
    <t>EVILASIO MENDES</t>
  </si>
  <si>
    <t>71 99938-8736</t>
  </si>
  <si>
    <t>18 PALETES</t>
  </si>
  <si>
    <t>ROSALVO MACHADO DA PAZ</t>
  </si>
  <si>
    <t>024.525.055-79</t>
  </si>
  <si>
    <t>71 99634-4673</t>
  </si>
  <si>
    <t>80M³</t>
  </si>
  <si>
    <t>55M³</t>
  </si>
  <si>
    <t>DIR4A39</t>
  </si>
  <si>
    <t>IVANILSON SANTOS NOVAIS</t>
  </si>
  <si>
    <t>782.555.895-20</t>
  </si>
  <si>
    <t>RDF-3J39</t>
  </si>
  <si>
    <t>RPS-9G87</t>
  </si>
  <si>
    <t>77 99214-9532</t>
  </si>
  <si>
    <t>30.000KG</t>
  </si>
  <si>
    <t>MÉDIA OCUP. =</t>
  </si>
  <si>
    <t>RENTABILIDADE</t>
  </si>
  <si>
    <t>MÉDIA RENTAB. =</t>
  </si>
  <si>
    <t>71 99878-5073</t>
  </si>
  <si>
    <t>BWG3A45</t>
  </si>
  <si>
    <t>75 99210-6978</t>
  </si>
  <si>
    <t>84M³</t>
  </si>
  <si>
    <t>DJALMA DA LUZ VENTURA</t>
  </si>
  <si>
    <t>626.350.859-00</t>
  </si>
  <si>
    <t>SEL-7B91</t>
  </si>
  <si>
    <t>SXC-3H87</t>
  </si>
  <si>
    <t>20.000KG</t>
  </si>
  <si>
    <t>LUCAS DE JESUS SANTOS</t>
  </si>
  <si>
    <t>449.355.648-06</t>
  </si>
  <si>
    <t>RCP3J10</t>
  </si>
  <si>
    <t>FTW4D69</t>
  </si>
  <si>
    <t>ANDRE MATOS DOS SANTOS</t>
  </si>
  <si>
    <t>019.794.675-52</t>
  </si>
  <si>
    <t>BBN-6E64</t>
  </si>
  <si>
    <t>RKM-5C48</t>
  </si>
  <si>
    <t>77 99993-4711</t>
  </si>
  <si>
    <t>710.864.715-04</t>
  </si>
  <si>
    <t>MKQ-9H60</t>
  </si>
  <si>
    <t>JWE-5206</t>
  </si>
  <si>
    <t>77 9 9133-4999</t>
  </si>
  <si>
    <t>CARLOS HENRIQUE DE MORAES ALMEIDA</t>
  </si>
  <si>
    <t>77 98117-1647</t>
  </si>
  <si>
    <t>ANDREAS SCHMIDT</t>
  </si>
  <si>
    <t>065.044.609-73</t>
  </si>
  <si>
    <t>MJM8B75</t>
  </si>
  <si>
    <t>47 99197-5518</t>
  </si>
  <si>
    <t>MOMEDE ZUDIAVAD USEN</t>
  </si>
  <si>
    <t>975.164.659-68</t>
  </si>
  <si>
    <t>ATA-9D04</t>
  </si>
  <si>
    <t>41 98901-2062</t>
  </si>
  <si>
    <t>JOSE BONFIM DOS SANTOS COSTA</t>
  </si>
  <si>
    <t>697.529.585-91</t>
  </si>
  <si>
    <t>NZZ5I49</t>
  </si>
  <si>
    <t>71 99222-8650</t>
  </si>
  <si>
    <t>020.657.405-31</t>
  </si>
  <si>
    <t>JMQ5867</t>
  </si>
  <si>
    <t>4000kg</t>
  </si>
  <si>
    <t>71 99244-9812</t>
  </si>
  <si>
    <t>ROMULO COSTA MACHADO</t>
  </si>
  <si>
    <t>082.817.961-11</t>
  </si>
  <si>
    <t>PNU-6E63</t>
  </si>
  <si>
    <t>MARQUES SANTANA SALES</t>
  </si>
  <si>
    <t>863.018.245-80</t>
  </si>
  <si>
    <t>JLI-4B27</t>
  </si>
  <si>
    <t>71 98148-6901</t>
  </si>
  <si>
    <t xml:space="preserve"> 74 99900-6577</t>
  </si>
  <si>
    <t>7000KG</t>
  </si>
  <si>
    <t>868.467.985-79</t>
  </si>
  <si>
    <t>OLW6E46</t>
  </si>
  <si>
    <t>35M³</t>
  </si>
  <si>
    <t>71 99341-6510</t>
  </si>
  <si>
    <t>919.315.845-91</t>
  </si>
  <si>
    <t>75 99846-3512</t>
  </si>
  <si>
    <t>14000KG</t>
  </si>
  <si>
    <t>JOAO PAULO</t>
  </si>
  <si>
    <t>LINDOMAR SOUZA</t>
  </si>
  <si>
    <t>32 98862-2395</t>
  </si>
  <si>
    <t>VITOR SOUZA SANTOS DE SENA</t>
  </si>
  <si>
    <t>044.547.875-65</t>
  </si>
  <si>
    <t>JNZ-1C74</t>
  </si>
  <si>
    <t xml:space="preserve"> 71 99222-8595</t>
  </si>
  <si>
    <t>54M³</t>
  </si>
  <si>
    <t>11.000KG</t>
  </si>
  <si>
    <t>WENDEL SALLES</t>
  </si>
  <si>
    <t>863.912.785-98</t>
  </si>
  <si>
    <t>JOZ-4J30</t>
  </si>
  <si>
    <t>3.500KG</t>
  </si>
  <si>
    <t>71 98421-7567</t>
  </si>
  <si>
    <t>AILTON MEIRELES DE SOUSA</t>
  </si>
  <si>
    <t>126.428.508-62</t>
  </si>
  <si>
    <t>DVT-7F88</t>
  </si>
  <si>
    <t>LYY-9C79</t>
  </si>
  <si>
    <t xml:space="preserve"> 11 96528-0146</t>
  </si>
  <si>
    <t>GIOVANNI COSTA DE SOUZA</t>
  </si>
  <si>
    <t>905.968.976-34</t>
  </si>
  <si>
    <t>112M³</t>
  </si>
  <si>
    <t>32 99160-5252</t>
  </si>
  <si>
    <t>EDMILSON PEREIRA GOMES</t>
  </si>
  <si>
    <t>936.401.295-04</t>
  </si>
  <si>
    <t>NYQ3C67</t>
  </si>
  <si>
    <t>PRK0C32</t>
  </si>
  <si>
    <t>75 99202-5486</t>
  </si>
  <si>
    <t>MURILO ENRIQUE ANUNCIACAO TEIXEIRA</t>
  </si>
  <si>
    <t>033.306.635-96</t>
  </si>
  <si>
    <t xml:space="preserve"> 71 99254-6310</t>
  </si>
  <si>
    <t>DANIVIO DE OLIVEIRA SANTOS</t>
  </si>
  <si>
    <t>071.114.775-29</t>
  </si>
  <si>
    <t>TMK8G00</t>
  </si>
  <si>
    <t>TMK1D48</t>
  </si>
  <si>
    <t>SERGIO MARCOS SILVA SANTOS</t>
  </si>
  <si>
    <t>HELIO DA SILVA DA CONCEICAO</t>
  </si>
  <si>
    <t>VALDENEI SANTANA DA PAIXAO</t>
  </si>
  <si>
    <t>GABRIEL DE SOUZA DAMASCENO</t>
  </si>
  <si>
    <t>JOSE CLAUDIO DO NASCIMENTO</t>
  </si>
  <si>
    <t>ADELMO CHILENO GOMES DOS SANTOS</t>
  </si>
  <si>
    <t>CHARLES FEITOSA DA SILVA</t>
  </si>
  <si>
    <t>ANDERSON DOS SANTOS DE JESUS</t>
  </si>
  <si>
    <t>ROBERT DOS SANTOS GONZAGA</t>
  </si>
  <si>
    <t>Padrão</t>
  </si>
  <si>
    <t>75 99235-4750</t>
  </si>
  <si>
    <t>DANILO PEREIRA BASTOS</t>
  </si>
  <si>
    <t>047.475.125-27</t>
  </si>
  <si>
    <t>HELTON RAMOS DE SENA</t>
  </si>
  <si>
    <t>322.170.778-99</t>
  </si>
  <si>
    <t>IHZ-2G96</t>
  </si>
  <si>
    <t>CPJ-6846</t>
  </si>
  <si>
    <t>16 99307-2224</t>
  </si>
  <si>
    <t>120M³</t>
  </si>
  <si>
    <t>IVONILTON AGUIAR COSTA</t>
  </si>
  <si>
    <t>641.625.915-04</t>
  </si>
  <si>
    <t>IAJ4B45</t>
  </si>
  <si>
    <t>71 99229-2549</t>
  </si>
  <si>
    <t>BRUNO GUARACI DO COUTO</t>
  </si>
  <si>
    <t>095.227.936-39</t>
  </si>
  <si>
    <t>HIJ-9H16</t>
  </si>
  <si>
    <t>35 99951-9654</t>
  </si>
  <si>
    <t>RICARDO OLEGARIO</t>
  </si>
  <si>
    <t>EMERSON JOSE REZENDE</t>
  </si>
  <si>
    <t>AWN9E22</t>
  </si>
  <si>
    <t>BER6J55</t>
  </si>
  <si>
    <t>LUIZ LOPES</t>
  </si>
  <si>
    <t>684.152.305-91</t>
  </si>
  <si>
    <t>71 99265-3808</t>
  </si>
  <si>
    <t>ELIAS ANJOS DE SOUZA</t>
  </si>
  <si>
    <t>863.619.625-63</t>
  </si>
  <si>
    <t>PKT2D93</t>
  </si>
  <si>
    <t>74 99999-5595</t>
  </si>
  <si>
    <t>GUI TRANSPORTE</t>
  </si>
  <si>
    <t>ANTONIO MARCOS</t>
  </si>
  <si>
    <t>ELIAS ANJOS</t>
  </si>
  <si>
    <t>98M³</t>
  </si>
  <si>
    <t>JOSENALDO SOARES SILVA</t>
  </si>
  <si>
    <t>MUZ-3A00</t>
  </si>
  <si>
    <t>BYD-8C18</t>
  </si>
  <si>
    <t>514.291.795-20</t>
  </si>
  <si>
    <t>71 98885-1803</t>
  </si>
  <si>
    <t>801.546.380-72</t>
  </si>
  <si>
    <t>IHB-9C26</t>
  </si>
  <si>
    <t>IIV-0D87</t>
  </si>
  <si>
    <t>51 98222-3745</t>
  </si>
  <si>
    <t>EMERSON LUIS AGRADEM VASQUES</t>
  </si>
  <si>
    <t>74 99802-9531</t>
  </si>
  <si>
    <t>17.000KG</t>
  </si>
  <si>
    <t>SKM7H46</t>
  </si>
  <si>
    <t>FABIO LUIS ALVES TEIXEIRA</t>
  </si>
  <si>
    <t>865.367.305-93</t>
  </si>
  <si>
    <t>JORGE SANTOS</t>
  </si>
  <si>
    <t>AGREGADOS/AVULSO</t>
  </si>
  <si>
    <t>EVANDRO MACEDO LIMA</t>
  </si>
  <si>
    <t>676.418.655-34</t>
  </si>
  <si>
    <t>AIZ-8H67</t>
  </si>
  <si>
    <t>JXA-4A50</t>
  </si>
  <si>
    <t xml:space="preserve"> 75 98170-7313</t>
  </si>
  <si>
    <t>JODSON PEREIRA DOS SANTOS</t>
  </si>
  <si>
    <t>396.845.248-89</t>
  </si>
  <si>
    <t>CPJ8819</t>
  </si>
  <si>
    <t>71 98354-7172</t>
  </si>
  <si>
    <t>RFT7I47</t>
  </si>
  <si>
    <t>FPG6E62</t>
  </si>
  <si>
    <t>PEDRO TIAGO FRANCA DE OLIVEIRA</t>
  </si>
  <si>
    <t>85M³</t>
  </si>
  <si>
    <t>115M³</t>
  </si>
  <si>
    <t>TACIO RODRIGUES SILVA LOPES</t>
  </si>
  <si>
    <t>064.963.451-98</t>
  </si>
  <si>
    <t>OZD5G52</t>
  </si>
  <si>
    <t>5000KG</t>
  </si>
  <si>
    <t>LUCAS MENEZES</t>
  </si>
  <si>
    <t>79 98159-5115</t>
  </si>
  <si>
    <t>010.493.495-63</t>
  </si>
  <si>
    <t>JRM6175</t>
  </si>
  <si>
    <t>EJV1I64</t>
  </si>
  <si>
    <t>71 99949-8470</t>
  </si>
  <si>
    <t>73 98811-6185</t>
  </si>
  <si>
    <t>PARCEIRO</t>
  </si>
  <si>
    <t>239.237.765-00</t>
  </si>
  <si>
    <t>JJC-3J99</t>
  </si>
  <si>
    <t>ANTONIO CARLOS FERREIRA</t>
  </si>
  <si>
    <t>JML2D70</t>
  </si>
  <si>
    <t>DAVID NASCIMENTO GONCALVES</t>
  </si>
  <si>
    <t>081.308.365-64</t>
  </si>
  <si>
    <t>AZS-5G16</t>
  </si>
  <si>
    <t>ETU-1813</t>
  </si>
  <si>
    <t>77 99953-4232</t>
  </si>
  <si>
    <t>SIDCLEI SOUZA ESTRELA SILVA</t>
  </si>
  <si>
    <t>JPY-3291</t>
  </si>
  <si>
    <t>790.948.055-53</t>
  </si>
  <si>
    <t>75 98110-8202</t>
  </si>
  <si>
    <t>SAMUEL ALTHAUS</t>
  </si>
  <si>
    <t>005.182.660-79</t>
  </si>
  <si>
    <t>IVA-6B79</t>
  </si>
  <si>
    <t>IWG-7D40</t>
  </si>
  <si>
    <t>51 99297-1153</t>
  </si>
  <si>
    <t>VINICIUS BASTOS MACIEL</t>
  </si>
  <si>
    <t>858.773.515-24</t>
  </si>
  <si>
    <t>74 99936-9558</t>
  </si>
  <si>
    <t>DANILO QUEIROZ</t>
  </si>
  <si>
    <t>DOCA</t>
  </si>
  <si>
    <t>□ BATIDA □ PALETIZADA □ MISTA</t>
  </si>
  <si>
    <t>HWV4360</t>
  </si>
  <si>
    <t>DESTINO:</t>
  </si>
  <si>
    <t>OKP4D53</t>
  </si>
  <si>
    <t>71 99226-6092</t>
  </si>
  <si>
    <t>WENDEL OLIVEIRA DE MIRANDA</t>
  </si>
  <si>
    <t>078.818.675-23</t>
  </si>
  <si>
    <t>74 99936-0136</t>
  </si>
  <si>
    <t>ELIAS DE AZEVEDO MARQUES</t>
  </si>
  <si>
    <t>632.820.545-72</t>
  </si>
  <si>
    <t>ERF3734</t>
  </si>
  <si>
    <t>JMD9641</t>
  </si>
  <si>
    <t>71 994078018</t>
  </si>
  <si>
    <t>THIAGO NUNES BIACCHI</t>
  </si>
  <si>
    <t>006.244.559-63</t>
  </si>
  <si>
    <t>RDZ-7J66</t>
  </si>
  <si>
    <t>51 8452-9409</t>
  </si>
  <si>
    <t>IJU-2A83</t>
  </si>
  <si>
    <t>96M³</t>
  </si>
  <si>
    <t>PRAZO</t>
  </si>
  <si>
    <t>24M3</t>
  </si>
  <si>
    <t>MARCIO GERALDO LIMA SOARES</t>
  </si>
  <si>
    <t>TAP6G57</t>
  </si>
  <si>
    <t>RLE5B26</t>
  </si>
  <si>
    <t>59M³</t>
  </si>
  <si>
    <t>647.614.285-20</t>
  </si>
  <si>
    <t>JOE5H92</t>
  </si>
  <si>
    <t>71 98114-0629</t>
  </si>
  <si>
    <t>17M³</t>
  </si>
  <si>
    <t>641.623.205-78</t>
  </si>
  <si>
    <t>MARCELO DE OLIVEIRA MEDEIROS</t>
  </si>
  <si>
    <t>050.150.775-21</t>
  </si>
  <si>
    <t>SKD-5D09</t>
  </si>
  <si>
    <t>11 96412-2358</t>
  </si>
  <si>
    <t>REBOUÇAS</t>
  </si>
  <si>
    <t>NILVÃ AGUIAR</t>
  </si>
  <si>
    <t>,</t>
  </si>
  <si>
    <t>ROMARIO DO NASCIMENTO DUARTE</t>
  </si>
  <si>
    <t>RYV3D97</t>
  </si>
  <si>
    <t>SXK6C99</t>
  </si>
  <si>
    <t>NATANIEL DE JESUS SANTOS</t>
  </si>
  <si>
    <t>859.205.475-37</t>
  </si>
  <si>
    <t>NUZ-7B28</t>
  </si>
  <si>
    <t>71 99126-8638</t>
  </si>
  <si>
    <t>JOW2247</t>
  </si>
  <si>
    <t>71 99384-4549</t>
  </si>
  <si>
    <t>CARLOS DOS SANTOS</t>
  </si>
  <si>
    <t>010.670.435-43</t>
  </si>
  <si>
    <t>KHT-0707</t>
  </si>
  <si>
    <t>71 99731-8331</t>
  </si>
  <si>
    <t>JOSE PEREIRA DE ARAUJO</t>
  </si>
  <si>
    <t>246.583.675-72</t>
  </si>
  <si>
    <t>SKK6G78</t>
  </si>
  <si>
    <t>RONILDO GALDINO DA SILVA</t>
  </si>
  <si>
    <t>RIELSON NUNES RAMOS DIAS</t>
  </si>
  <si>
    <t>ROBSON ANDRADE SANTOS</t>
  </si>
  <si>
    <t>MARCELO MIRANDA DOS SANTOS</t>
  </si>
  <si>
    <t>ARICLENES PACHECO DOS SANTOS</t>
  </si>
  <si>
    <t>ODILON MARTINS MORAES</t>
  </si>
  <si>
    <t>JOSE JOAO DE OLIVEIRA</t>
  </si>
  <si>
    <t>JSZ2G59</t>
  </si>
  <si>
    <t>SAVEIRO</t>
  </si>
  <si>
    <t>1,5M³</t>
  </si>
  <si>
    <t>0,5 PALETE</t>
  </si>
  <si>
    <t>400KG</t>
  </si>
  <si>
    <t>JOSENILDO INACIO DOS SANTOS</t>
  </si>
  <si>
    <t>NTK3J14</t>
  </si>
  <si>
    <t>CRISTIANO ROSSI VICENTINI</t>
  </si>
  <si>
    <t>016.413.759-90</t>
  </si>
  <si>
    <t>BEB-0F62</t>
  </si>
  <si>
    <t>SXN-3H57</t>
  </si>
  <si>
    <t>49 99904-1229</t>
  </si>
  <si>
    <t>PKT-2D93</t>
  </si>
  <si>
    <t>7.000KG</t>
  </si>
  <si>
    <t>RIELSON DIAS</t>
  </si>
  <si>
    <t>LUCAS GABRIEL DOS SANTOS OLIVEIRA</t>
  </si>
  <si>
    <t>429.245.768-90</t>
  </si>
  <si>
    <t>ARY-2F16</t>
  </si>
  <si>
    <t>15 99242-3517</t>
  </si>
  <si>
    <t>JAIR RODRIGO MANTOVANELI</t>
  </si>
  <si>
    <t>MSK-6E32</t>
  </si>
  <si>
    <t>DPF-2732</t>
  </si>
  <si>
    <t>112.185.707-84</t>
  </si>
  <si>
    <t>21 99755-7003</t>
  </si>
  <si>
    <t>FRX1D73</t>
  </si>
  <si>
    <t xml:space="preserve">FRETE </t>
  </si>
  <si>
    <t>743.280.505-91</t>
  </si>
  <si>
    <t>815.075.855-00</t>
  </si>
  <si>
    <t>CARLOS BALBINO RIBEIRO</t>
  </si>
  <si>
    <t>937.409.805-91</t>
  </si>
  <si>
    <t>PEF0F47</t>
  </si>
  <si>
    <t>CYN6J17</t>
  </si>
  <si>
    <t>140.251.788-26</t>
  </si>
  <si>
    <t>184.463.455-87</t>
  </si>
  <si>
    <t>JOSE PEREIRA</t>
  </si>
  <si>
    <t>PAULO HENRIQUE REIS</t>
  </si>
  <si>
    <t>560.256.029-72</t>
  </si>
  <si>
    <t>019.426.835-70</t>
  </si>
  <si>
    <t>UHV2C66</t>
  </si>
  <si>
    <t>52M³</t>
  </si>
  <si>
    <t>KNR9818</t>
  </si>
  <si>
    <t>JOAO EDES CARDOSO DA SILVA CHAVES</t>
  </si>
  <si>
    <t>852.094.225-34</t>
  </si>
  <si>
    <t>FRP-2G56</t>
  </si>
  <si>
    <t>FTP-2G89</t>
  </si>
  <si>
    <t>21 99926-4853</t>
  </si>
  <si>
    <t>027.091.735-73</t>
  </si>
  <si>
    <t>UHV2E66</t>
  </si>
  <si>
    <t>816.855.305-59</t>
  </si>
  <si>
    <t>KVX5283</t>
  </si>
  <si>
    <t>EAK5C78</t>
  </si>
  <si>
    <t>33 99829-3690</t>
  </si>
  <si>
    <t>JOSE CRISTOVAO</t>
  </si>
  <si>
    <t>OBSERVAÇÃO</t>
  </si>
  <si>
    <t>079.572.405-50</t>
  </si>
  <si>
    <t>UHV2E06</t>
  </si>
  <si>
    <t>71 99366-2774</t>
  </si>
  <si>
    <t>MAVERON DE SOUZA XAVIER</t>
  </si>
  <si>
    <t>QXN-3059</t>
  </si>
  <si>
    <t>PVE-5359</t>
  </si>
  <si>
    <t>893.304.986-04</t>
  </si>
  <si>
    <t>32 99197-3737</t>
  </si>
  <si>
    <t>WELLINGTON MATEUS SILVA NASCIMENTO</t>
  </si>
  <si>
    <t>031.575.005-70</t>
  </si>
  <si>
    <t>RPG6F31</t>
  </si>
  <si>
    <t>RPG7D42</t>
  </si>
  <si>
    <t>73 98249-8400</t>
  </si>
  <si>
    <t>530.786.165-68</t>
  </si>
  <si>
    <t>15M3</t>
  </si>
  <si>
    <t>3000kg</t>
  </si>
  <si>
    <t>MARCIO LUCIANO DA SILVA</t>
  </si>
  <si>
    <t>JSA3045</t>
  </si>
  <si>
    <t>JRX5036</t>
  </si>
  <si>
    <t>CIDADE</t>
  </si>
  <si>
    <t>CLAUDEMI RELLA</t>
  </si>
  <si>
    <t>043.702.377-00</t>
  </si>
  <si>
    <t>NBO2H37</t>
  </si>
  <si>
    <t>MPW9576</t>
  </si>
  <si>
    <t>32.000KG</t>
  </si>
  <si>
    <t>27 99965-8047</t>
  </si>
  <si>
    <t>793.397.005-20</t>
  </si>
  <si>
    <t>REINALDO AMARAL RODRIGUES</t>
  </si>
  <si>
    <t>407.804.220-15</t>
  </si>
  <si>
    <t>APR4H26</t>
  </si>
  <si>
    <t>14.000KG</t>
  </si>
  <si>
    <t>EDENILSON SANTOS SOARES</t>
  </si>
  <si>
    <t>022.990.125-59</t>
  </si>
  <si>
    <t>JPF3438</t>
  </si>
  <si>
    <t>EDENILSON SOARES</t>
  </si>
  <si>
    <t>MARCIO DE OLIVEIRA SILVA</t>
  </si>
  <si>
    <t>782.701.035-00</t>
  </si>
  <si>
    <t>0ZR1150</t>
  </si>
  <si>
    <t>MTB1E56</t>
  </si>
  <si>
    <t>AMAURY DOS SANTOS DE CARVALHO</t>
  </si>
  <si>
    <t>656.806.345-20</t>
  </si>
  <si>
    <t>JQI-0977</t>
  </si>
  <si>
    <t>DUQ-8398</t>
  </si>
  <si>
    <t>73 99199-0046</t>
  </si>
  <si>
    <t>JEFERSON SOUZA</t>
  </si>
  <si>
    <t>NZW6A10</t>
  </si>
  <si>
    <t>16.000KG</t>
  </si>
  <si>
    <t>LUCAS LIMA PEREIRA</t>
  </si>
  <si>
    <t>022.820.352-08</t>
  </si>
  <si>
    <t>JRU-9F50</t>
  </si>
  <si>
    <t>AJZ-9A86</t>
  </si>
  <si>
    <t>47 99219-2617</t>
  </si>
  <si>
    <t>FRANCKLIM SANTOS</t>
  </si>
  <si>
    <t>RAILAN BISPO</t>
  </si>
  <si>
    <t>VILSON PEREIRA</t>
  </si>
  <si>
    <t>376.201.939-87</t>
  </si>
  <si>
    <t>RYD9E56</t>
  </si>
  <si>
    <t>SXQ2I77</t>
  </si>
  <si>
    <t>TOTAL =</t>
  </si>
  <si>
    <t>693.705.404-15</t>
  </si>
  <si>
    <t>UBIRACI DA SILVA PAIXÃO</t>
  </si>
  <si>
    <t>PLB3985</t>
  </si>
  <si>
    <t>27 99965-8829</t>
  </si>
  <si>
    <t>ANDERSON MARIANO DA SILVA</t>
  </si>
  <si>
    <t>104.763.786-30</t>
  </si>
  <si>
    <t>FTY-5856</t>
  </si>
  <si>
    <t>SHF-4C19</t>
  </si>
  <si>
    <t>32 99820-6561</t>
  </si>
  <si>
    <t>MAURICIO SILVA</t>
  </si>
  <si>
    <t>PEDRO E UANDERSON</t>
  </si>
  <si>
    <t>71M³</t>
  </si>
  <si>
    <t>859.981.205-07</t>
  </si>
  <si>
    <t>JUVENILDO MACHADO DA PAZ</t>
  </si>
  <si>
    <t>GENIVALDO OLIVEIRA MOTA</t>
  </si>
  <si>
    <t>NILVA AGUIAR COSTA</t>
  </si>
  <si>
    <t>ANDERSON DOS SANTOS SALES</t>
  </si>
  <si>
    <t>REINALDO SILVA DE ARAUJO</t>
  </si>
  <si>
    <t>HAMILTON PEREIRA DE JESUS</t>
  </si>
  <si>
    <t>RAFAEL LOUREIRO FERREIRA SANTOS</t>
  </si>
  <si>
    <t>FLAVIO CARDOSO PEREIRA</t>
  </si>
  <si>
    <t>011.563.555-67</t>
  </si>
  <si>
    <t>PEDRO HENRIQUE</t>
  </si>
  <si>
    <t>906.339.895-68</t>
  </si>
  <si>
    <t>FLANCKLIM SANTOS BARBOSA</t>
  </si>
  <si>
    <t>JORGE GREGORIO RONDON BASTARDO</t>
  </si>
  <si>
    <t>706.552.482-50</t>
  </si>
  <si>
    <t xml:space="preserve">MFA4E89 </t>
  </si>
  <si>
    <t>73M³</t>
  </si>
  <si>
    <t>VERINALDO BATISTA</t>
  </si>
  <si>
    <t>PESO CALC.</t>
  </si>
  <si>
    <t>FEIRA DE SANTANA</t>
  </si>
  <si>
    <t>GUI TRANSP</t>
  </si>
  <si>
    <t>10M³</t>
  </si>
  <si>
    <t>AGENDA 31/07</t>
  </si>
  <si>
    <t>FS1</t>
  </si>
  <si>
    <t>DESCARGA - 27/07</t>
  </si>
  <si>
    <t xml:space="preserve">    12638*</t>
  </si>
  <si>
    <t xml:space="preserve">    12639*</t>
  </si>
  <si>
    <t xml:space="preserve">    12636*</t>
  </si>
  <si>
    <t xml:space="preserve">    12643*</t>
  </si>
  <si>
    <t xml:space="preserve">   949334*</t>
  </si>
  <si>
    <t>EM SEPARAÇÃO</t>
  </si>
  <si>
    <t>CONCEICAO DO JACUIPE</t>
  </si>
  <si>
    <t>SAO GONCALO DOS CAMPOS</t>
  </si>
  <si>
    <t xml:space="preserve">                       ORDEM DE CARREGAMENTO</t>
  </si>
  <si>
    <t>OC Nº  YYYY0728-0855</t>
  </si>
  <si>
    <t>DATA DA EMISSÃO</t>
  </si>
  <si>
    <t>DATA DO CARREGAMENTO</t>
  </si>
  <si>
    <t>TIPO DE OPERAÇÃO</t>
  </si>
  <si>
    <t>SIGLA</t>
  </si>
  <si>
    <t>UNIDADE / CD</t>
  </si>
  <si>
    <t>BNRV – Unidade SSA</t>
  </si>
  <si>
    <t xml:space="preserve">  DADOS DO VEÍCULO E MOTORISTA</t>
  </si>
  <si>
    <t>MOTORISTA</t>
  </si>
  <si>
    <t>TELEFONE / CONTATO</t>
  </si>
  <si>
    <t>PLACA CAVALO</t>
  </si>
  <si>
    <t>PLACA CARRETA</t>
  </si>
  <si>
    <t>TIPO DE VEÍCULO</t>
  </si>
  <si>
    <t>CUBAGEM VEÍCULO</t>
  </si>
  <si>
    <t>QTD. PALLETS</t>
  </si>
  <si>
    <t>VÍNCULO</t>
  </si>
  <si>
    <t xml:space="preserve">  DADOS DO CARREGAMENTO</t>
  </si>
  <si>
    <t>CONFERENTE RESPONSÁVEL</t>
  </si>
  <si>
    <t>AJUDANTES</t>
  </si>
  <si>
    <t>TURNO</t>
  </si>
  <si>
    <t>HORA INÍCIO</t>
  </si>
  <si>
    <t>HORA FIM</t>
  </si>
  <si>
    <t>QTD. VOLUMES CARREGADOS</t>
  </si>
  <si>
    <t>QTD TOTAL DE PALETES</t>
  </si>
  <si>
    <t>TIPO DE CARGA</t>
  </si>
  <si>
    <t>□  BATIDA       □  PALETIZADA       □  MISTA</t>
  </si>
  <si>
    <t xml:space="preserve">  CHECKLIST DE CARREGAMENTO</t>
  </si>
  <si>
    <t>□</t>
  </si>
  <si>
    <t>Documentação da carga conferida</t>
  </si>
  <si>
    <t>Quantidade de paletes conferida</t>
  </si>
  <si>
    <t>Lacre do veículo aplicado</t>
  </si>
  <si>
    <t>Notas fiscais conferidas</t>
  </si>
  <si>
    <t>Tipo de carga correto (batida/paletizada)</t>
  </si>
  <si>
    <t>Veículo limpo e em condições</t>
  </si>
  <si>
    <t>Quantidade de volumes conferida</t>
  </si>
  <si>
    <t>Doca correta utilizada</t>
  </si>
  <si>
    <t>Hora de saída registrada</t>
  </si>
  <si>
    <t>NÚMERO DO LACRE:</t>
  </si>
  <si>
    <t>TOTAL DE CTRCs</t>
  </si>
  <si>
    <t>TOTAL DE VOLUMES</t>
  </si>
  <si>
    <t>TOTAL PESO REAL</t>
  </si>
  <si>
    <t>TOTAL CUBAGEM (m³)</t>
  </si>
  <si>
    <t>TOTAL PESO CALC</t>
  </si>
  <si>
    <t xml:space="preserve">  NOTAS FISCAIS / ITENS CARREGADOS</t>
  </si>
  <si>
    <t>ORD.</t>
  </si>
  <si>
    <t>(ROTA)</t>
  </si>
  <si>
    <t>DESTINATÁRIO</t>
  </si>
  <si>
    <t>NOTA FISCAL</t>
  </si>
  <si>
    <t>AGENDA</t>
  </si>
  <si>
    <t>PESO</t>
  </si>
  <si>
    <t>QTD PALETES</t>
  </si>
  <si>
    <t>OBS.</t>
  </si>
  <si>
    <t xml:space="preserve">  NOTAS FISCAIS / ITENS CARREGADOS – CONTINUAÇÃO (Notas 16 a 60)</t>
  </si>
  <si>
    <t xml:space="preserve">  NOTAS FISCAIS / ITENS CARREGADOS – CONTINUAÇÃO (Notas 61 a 105)</t>
  </si>
  <si>
    <t xml:space="preserve">  NOTAS FISCAIS / ITENS CARREGADOS – CONTINUAÇÃO (Notas 106 a 150)</t>
  </si>
  <si>
    <t>TOTAL</t>
  </si>
  <si>
    <t xml:space="preserve">  OBSERVAÇÕES GERAIS / OCORRÊNCIAS</t>
  </si>
  <si>
    <t xml:space="preserve">  CONFERÊNCIA E RESPONSÁVEIS</t>
  </si>
  <si>
    <t>CONFERENTE</t>
  </si>
  <si>
    <t>LÍDER OPERACIONAL</t>
  </si>
  <si>
    <t>DATA: ____/____/______    HORA: ______</t>
  </si>
  <si>
    <t>CUBAGEM (M³)</t>
  </si>
  <si>
    <t>REAL(KG)</t>
  </si>
  <si>
    <t>CALC. (KG)</t>
  </si>
  <si>
    <t xml:space="preserve">  RESUMO DA CARGA </t>
  </si>
  <si>
    <t>ROMULO COSTA</t>
  </si>
  <si>
    <t>PEDRO TIAGO</t>
  </si>
  <si>
    <t>ELECSANDRO PEREIRA ALVES</t>
  </si>
  <si>
    <t>824.231.305-97</t>
  </si>
  <si>
    <t>PLY7G30</t>
  </si>
  <si>
    <t>DIEGO SANTOS SANTANA</t>
  </si>
  <si>
    <t>052.371.385-19</t>
  </si>
  <si>
    <t>RPJ5J06</t>
  </si>
  <si>
    <t>RPJ2H57</t>
  </si>
  <si>
    <t>71 99696-6494</t>
  </si>
  <si>
    <t>JOSUE DIAS ALVES</t>
  </si>
  <si>
    <t>331.114.198-94</t>
  </si>
  <si>
    <t>RPG9E52</t>
  </si>
  <si>
    <t>RPG1G86</t>
  </si>
  <si>
    <t>77 99208-4385</t>
  </si>
  <si>
    <t>PAULO ROBERTO SANTANA DA SILVA</t>
  </si>
  <si>
    <t>036.643.915-43</t>
  </si>
  <si>
    <t>75 98371-8065</t>
  </si>
  <si>
    <t>MARIVALDO COSTA</t>
  </si>
  <si>
    <t>PAULO ROBERTO</t>
  </si>
  <si>
    <t>JEAN GONZAGA DA SILVA</t>
  </si>
  <si>
    <t>113.514.516-42</t>
  </si>
  <si>
    <t>FPG-6E62</t>
  </si>
  <si>
    <t>RFT-7I47</t>
  </si>
  <si>
    <t>MELQUEZEDEQUE MARTINEZ RODRIGUES</t>
  </si>
  <si>
    <t>14.656.319-17</t>
  </si>
  <si>
    <t>QXH2A33</t>
  </si>
  <si>
    <t>67 99208-1877</t>
  </si>
  <si>
    <t>ANDESON SENA</t>
  </si>
  <si>
    <t>73 99923-0726</t>
  </si>
  <si>
    <t>TEIXEIRA DE FREITAS</t>
  </si>
  <si>
    <t>MARCOS BITENCOURT</t>
  </si>
  <si>
    <t>ENTREGA</t>
  </si>
  <si>
    <t>MARCOS BITENCOURT DA SILVA</t>
  </si>
  <si>
    <t>858.985.185-09</t>
  </si>
  <si>
    <t>46M³</t>
  </si>
  <si>
    <t>9.000KG</t>
  </si>
  <si>
    <t xml:space="preserve">   294675*</t>
  </si>
  <si>
    <t xml:space="preserve">    12651*</t>
  </si>
  <si>
    <t>JEQ</t>
  </si>
  <si>
    <t>IRE</t>
  </si>
  <si>
    <t>57117138 CAROLINE DA SILVA FER</t>
  </si>
  <si>
    <t>DISTRIBUIDORA DE COSMETICOS AN</t>
  </si>
  <si>
    <t>SANTO ESTEVAO</t>
  </si>
  <si>
    <t>IPIRA</t>
  </si>
  <si>
    <t>FSA/IPIRÁ</t>
  </si>
  <si>
    <t>EVALDO FERREIRA</t>
  </si>
  <si>
    <t>ALAGOINHAS/COITÉ</t>
  </si>
  <si>
    <t>MARCIO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</si>
</sst>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\″\.\”000\″\.\”000\-00"/>
    <numFmt numFmtId="165" formatCode="#\ ?/4"/>
    <numFmt numFmtId="166" formatCode="#,##0.000"/>
    <numFmt numFmtId="167" formatCode="d/m;@"/>
    <numFmt numFmtId="168" formatCode="00000"/>
    <numFmt numFmtId="169" formatCode="dd/mm/yy;@"/>
    <numFmt numFmtId="170" formatCode="0.000"/>
  </numFmts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  <font>
      <sz val="9"/>
      <name val="Calibri"/>
      <family val="2"/>
    </font>
    <font>
      <sz val="11"/>
      <color rgb="FFFFFFFF"/>
      <name val="Arial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rgb="FF00000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i/>
      <sz val="9"/>
      <color rgb="FF808080"/>
      <name val="Calibri"/>
      <family val="2"/>
      <scheme val="minor"/>
    </font>
    <font>
      <b/>
      <sz val="16"/>
      <color rgb="FFFFFFFF"/>
      <name val="Calibri"/>
      <family val="2"/>
      <charset val="1"/>
      <scheme val="minor"/>
    </font>
    <font>
      <b/>
      <sz val="8"/>
      <color rgb="FFFFFFFF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i/>
      <sz val="7"/>
      <color rgb="FFFFFFFF"/>
      <name val="Calibri"/>
      <family val="2"/>
      <charset val="1"/>
      <scheme val="minor"/>
    </font>
    <font>
      <b/>
      <sz val="7"/>
      <color rgb="FFFFFFFF"/>
      <name val="Calibri"/>
      <family val="2"/>
      <charset val="1"/>
      <scheme val="minor"/>
    </font>
    <font>
      <sz val="9"/>
      <color rgb="FF000000"/>
      <name val="Calibri"/>
      <family val="2"/>
      <charset val="1"/>
      <scheme val="minor"/>
    </font>
    <font>
      <b/>
      <sz val="9"/>
      <color rgb="FFFFFFFF"/>
      <name val="Calibri"/>
      <family val="2"/>
      <charset val="1"/>
      <scheme val="minor"/>
    </font>
    <font>
      <b/>
      <sz val="9"/>
      <color rgb="FF1E5799"/>
      <name val="Calibri"/>
      <family val="2"/>
      <charset val="1"/>
      <scheme val="minor"/>
    </font>
    <font>
      <b/>
      <sz val="9"/>
      <color rgb="FF555555"/>
      <name val="Calibri"/>
      <family val="2"/>
      <charset val="1"/>
      <scheme val="minor"/>
    </font>
    <font>
      <b/>
      <sz val="14"/>
      <color rgb="FF1E5799"/>
      <name val="Calibri"/>
      <family val="2"/>
      <charset val="1"/>
      <scheme val="minor"/>
    </font>
    <font>
      <b/>
      <sz val="8"/>
      <color rgb="FF1E5799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b/>
      <sz val="8"/>
      <color rgb="FF1E5631"/>
      <name val="Calibri"/>
      <family val="2"/>
      <charset val="1"/>
      <scheme val="minor"/>
    </font>
    <font>
      <sz val="12"/>
      <color rgb="FF444444"/>
      <name val="Calibri"/>
      <family val="2"/>
      <charset val="1"/>
      <scheme val="minor"/>
    </font>
    <font>
      <b/>
      <i/>
      <sz val="7"/>
      <color rgb="FF555555"/>
      <name val="Calibri"/>
      <family val="2"/>
      <charset val="1"/>
      <scheme val="minor"/>
    </font>
    <font>
      <b/>
      <sz val="10"/>
      <color rgb="FF000000"/>
      <name val="Calibri"/>
      <family val="2"/>
      <charset val="1"/>
      <scheme val="minor"/>
    </font>
    <font>
      <i/>
      <sz val="10"/>
      <color rgb="FF000000"/>
      <name val="Calibri"/>
      <family val="2"/>
      <charset val="1"/>
      <scheme val="minor"/>
    </font>
    <font>
      <b/>
      <sz val="10"/>
      <color rgb="FFFFFFFF"/>
      <name val="Calibri"/>
      <family val="2"/>
      <charset val="1"/>
      <scheme val="minor"/>
    </font>
    <font>
      <b/>
      <sz val="10"/>
      <color rgb="FF1E5799"/>
      <name val="Calibri"/>
      <family val="2"/>
      <charset val="1"/>
      <scheme val="minor"/>
    </font>
    <font>
      <b/>
      <sz val="8"/>
      <color rgb="FF000000"/>
      <name val="Calibri"/>
      <family val="2"/>
      <charset val="1"/>
      <scheme val="minor"/>
    </font>
    <font>
      <b/>
      <sz val="10"/>
      <color rgb="FF000000"/>
      <name val="Calibri"/>
      <family val="2"/>
      <scheme val="minor"/>
    </font>
    <font>
      <sz val="28"/>
      <color rgb="FF000000"/>
      <name val="Calibri"/>
      <family val="2"/>
      <charset val="1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3A5C"/>
        <bgColor rgb="FF333399"/>
      </patternFill>
    </fill>
    <fill>
      <patternFill patternType="solid">
        <fgColor rgb="FF1E5799"/>
        <bgColor rgb="FF333399"/>
      </patternFill>
    </fill>
    <fill>
      <patternFill patternType="solid">
        <fgColor rgb="FFD6E4F7"/>
        <bgColor rgb="FFE2EFDA"/>
      </patternFill>
    </fill>
    <fill>
      <patternFill patternType="solid">
        <fgColor rgb="FFF5F5F5"/>
        <bgColor rgb="FFEBF3FB"/>
      </patternFill>
    </fill>
    <fill>
      <patternFill patternType="solid">
        <fgColor rgb="FFEBF3FB"/>
        <bgColor rgb="FFF5F5F5"/>
      </patternFill>
    </fill>
    <fill>
      <patternFill patternType="solid">
        <fgColor rgb="FFFFFFFF"/>
        <bgColor rgb="FFFFFCE8"/>
      </patternFill>
    </fill>
    <fill>
      <patternFill patternType="solid">
        <fgColor rgb="FFFFFCE8"/>
        <bgColor rgb="FFFFFFFF"/>
      </patternFill>
    </fill>
    <fill>
      <patternFill patternType="solid">
        <fgColor rgb="FFE2EFDA"/>
        <bgColor rgb="FFEBF3FB"/>
      </patternFill>
    </fill>
  </fills>
  <borders count="10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rgb="FF1E5799"/>
      </top>
      <bottom style="thin">
        <color rgb="FF1E5799"/>
      </bottom>
      <diagonal/>
    </border>
    <border>
      <left/>
      <right/>
      <top style="thin">
        <color rgb="FF1E5799"/>
      </top>
      <bottom style="thin">
        <color rgb="FF1E5799"/>
      </bottom>
      <diagonal/>
    </border>
    <border>
      <left style="thin">
        <color rgb="FF1E5799"/>
      </left>
      <right/>
      <top style="thin">
        <color rgb="FF1E5799"/>
      </top>
      <bottom style="thin">
        <color rgb="FF1E5799"/>
      </bottom>
      <diagonal/>
    </border>
    <border>
      <left style="thin">
        <color rgb="FF1E5799"/>
      </left>
      <right style="medium">
        <color indexed="64"/>
      </right>
      <top style="thin">
        <color rgb="FF1E5799"/>
      </top>
      <bottom style="thin">
        <color rgb="FF1E5799"/>
      </bottom>
      <diagonal/>
    </border>
    <border>
      <left style="medium">
        <color indexed="64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1E5799"/>
      </bottom>
      <diagonal/>
    </border>
    <border>
      <left/>
      <right/>
      <top style="thin">
        <color rgb="FFBFBFBF"/>
      </top>
      <bottom style="medium">
        <color rgb="FF1E5799"/>
      </bottom>
      <diagonal/>
    </border>
    <border>
      <left/>
      <right style="thin">
        <color rgb="FFBFBFBF"/>
      </right>
      <top style="thin">
        <color rgb="FFBFBFBF"/>
      </top>
      <bottom style="medium">
        <color rgb="FF1E5799"/>
      </bottom>
      <diagonal/>
    </border>
    <border>
      <left style="medium">
        <color indexed="64"/>
      </left>
      <right/>
      <top style="medium">
        <color rgb="FF1E5799"/>
      </top>
      <bottom style="medium">
        <color rgb="FF1E5799"/>
      </bottom>
      <diagonal/>
    </border>
    <border>
      <left/>
      <right/>
      <top style="medium">
        <color rgb="FF1E5799"/>
      </top>
      <bottom style="medium">
        <color rgb="FF1E5799"/>
      </bottom>
      <diagonal/>
    </border>
    <border>
      <left/>
      <right style="medium">
        <color indexed="64"/>
      </right>
      <top style="medium">
        <color rgb="FF1E5799"/>
      </top>
      <bottom style="medium">
        <color rgb="FF1E5799"/>
      </bottom>
      <diagonal/>
    </border>
    <border>
      <left/>
      <right style="medium">
        <color indexed="64"/>
      </right>
      <top style="thin">
        <color rgb="FFBFBFBF"/>
      </top>
      <bottom style="medium">
        <color rgb="FF1E5799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medium">
        <color rgb="FF1E5799"/>
      </top>
      <bottom style="thin">
        <color rgb="FFBFBFBF"/>
      </bottom>
      <diagonal/>
    </border>
    <border>
      <left/>
      <right/>
      <top style="medium">
        <color rgb="FF1E5799"/>
      </top>
      <bottom style="thin">
        <color rgb="FFBFBFBF"/>
      </bottom>
      <diagonal/>
    </border>
    <border>
      <left style="medium">
        <color indexed="64"/>
      </left>
      <right style="thin">
        <color rgb="FF1A3A5C"/>
      </right>
      <top/>
      <bottom style="thin">
        <color rgb="FF1A3A5C"/>
      </bottom>
      <diagonal/>
    </border>
    <border>
      <left style="thin">
        <color rgb="FF1A3A5C"/>
      </left>
      <right style="thin">
        <color rgb="FF1A3A5C"/>
      </right>
      <top style="thin">
        <color rgb="FF1A3A5C"/>
      </top>
      <bottom/>
      <diagonal/>
    </border>
    <border>
      <left style="thin">
        <color rgb="FF1A3A5C"/>
      </left>
      <right style="thin">
        <color rgb="FF1A3A5C"/>
      </right>
      <top/>
      <bottom style="thin">
        <color rgb="FF1A3A5C"/>
      </bottom>
      <diagonal/>
    </border>
    <border>
      <left style="thin">
        <color rgb="FF1A3A5C"/>
      </left>
      <right/>
      <top/>
      <bottom style="thin">
        <color rgb="FF1A3A5C"/>
      </bottom>
      <diagonal/>
    </border>
    <border>
      <left/>
      <right/>
      <top/>
      <bottom style="thin">
        <color rgb="FF1A3A5C"/>
      </bottom>
      <diagonal/>
    </border>
    <border>
      <left style="thin">
        <color rgb="FF1A3A5C"/>
      </left>
      <right style="thin">
        <color rgb="FF1A3A5C"/>
      </right>
      <top style="medium">
        <color rgb="FF1E5799"/>
      </top>
      <bottom/>
      <diagonal/>
    </border>
    <border>
      <left style="thin">
        <color rgb="FF1A3A5C"/>
      </left>
      <right/>
      <top style="medium">
        <color rgb="FF1E5799"/>
      </top>
      <bottom/>
      <diagonal/>
    </border>
    <border>
      <left/>
      <right style="thin">
        <color rgb="FF1A3A5C"/>
      </right>
      <top style="medium">
        <color rgb="FF1E5799"/>
      </top>
      <bottom/>
      <diagonal/>
    </border>
    <border>
      <left style="thin">
        <color rgb="FF1A3A5C"/>
      </left>
      <right style="medium">
        <color indexed="64"/>
      </right>
      <top/>
      <bottom style="thin">
        <color rgb="FF1A3A5C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rgb="FF1E5799"/>
      </top>
      <bottom/>
      <diagonal/>
    </border>
    <border>
      <left/>
      <right/>
      <top style="medium">
        <color rgb="FF1E5799"/>
      </top>
      <bottom/>
      <diagonal/>
    </border>
    <border>
      <left/>
      <right style="medium">
        <color indexed="64"/>
      </right>
      <top style="medium">
        <color rgb="FF1E5799"/>
      </top>
      <bottom/>
      <diagonal/>
    </border>
    <border>
      <left style="medium">
        <color rgb="FF1E5799"/>
      </left>
      <right/>
      <top style="medium">
        <color rgb="FF1E5799"/>
      </top>
      <bottom style="medium">
        <color rgb="FF1E5799"/>
      </bottom>
      <diagonal/>
    </border>
    <border>
      <left style="medium">
        <color indexed="64"/>
      </left>
      <right/>
      <top style="thin">
        <color rgb="FF1A3A5C"/>
      </top>
      <bottom style="thin">
        <color rgb="FF1A3A5C"/>
      </bottom>
      <diagonal/>
    </border>
    <border>
      <left/>
      <right/>
      <top style="thin">
        <color rgb="FF1A3A5C"/>
      </top>
      <bottom style="thin">
        <color rgb="FF1A3A5C"/>
      </bottom>
      <diagonal/>
    </border>
    <border>
      <left/>
      <right style="medium">
        <color indexed="64"/>
      </right>
      <top style="thin">
        <color rgb="FF1A3A5C"/>
      </top>
      <bottom style="thin">
        <color rgb="FF1A3A5C"/>
      </bottom>
      <diagonal/>
    </border>
    <border>
      <left style="medium">
        <color indexed="64"/>
      </left>
      <right/>
      <top style="thin">
        <color indexed="64"/>
      </top>
      <bottom style="thin">
        <color rgb="FF1E5799"/>
      </bottom>
      <diagonal/>
    </border>
    <border>
      <left/>
      <right/>
      <top style="thin">
        <color indexed="64"/>
      </top>
      <bottom style="thin">
        <color rgb="FF1E5799"/>
      </bottom>
      <diagonal/>
    </border>
    <border>
      <left/>
      <right style="medium">
        <color rgb="FF1A3A5C"/>
      </right>
      <top style="thin">
        <color indexed="64"/>
      </top>
      <bottom style="thin">
        <color rgb="FF1E5799"/>
      </bottom>
      <diagonal/>
    </border>
    <border>
      <left style="medium">
        <color rgb="FF1A3A5C"/>
      </left>
      <right/>
      <top style="thin">
        <color indexed="64"/>
      </top>
      <bottom style="medium">
        <color rgb="FF1A3A5C"/>
      </bottom>
      <diagonal/>
    </border>
    <border>
      <left/>
      <right/>
      <top style="thin">
        <color indexed="64"/>
      </top>
      <bottom style="medium">
        <color rgb="FF1A3A5C"/>
      </bottom>
      <diagonal/>
    </border>
    <border>
      <left/>
      <right style="medium">
        <color indexed="64"/>
      </right>
      <top style="thin">
        <color indexed="64"/>
      </top>
      <bottom style="medium">
        <color rgb="FF1A3A5C"/>
      </bottom>
      <diagonal/>
    </border>
    <border>
      <left/>
      <right style="thin">
        <color rgb="FF1E5799"/>
      </right>
      <top style="thin">
        <color rgb="FF1E5799"/>
      </top>
      <bottom style="thin">
        <color rgb="FF1E5799"/>
      </bottom>
      <diagonal/>
    </border>
    <border>
      <left style="medium">
        <color indexed="64"/>
      </left>
      <right/>
      <top style="thin">
        <color rgb="FF1E5799"/>
      </top>
      <bottom style="thin">
        <color rgb="FFBFBFBF"/>
      </bottom>
      <diagonal/>
    </border>
    <border>
      <left/>
      <right/>
      <top style="thin">
        <color rgb="FF1E5799"/>
      </top>
      <bottom style="thin">
        <color rgb="FFBFBFBF"/>
      </bottom>
      <diagonal/>
    </border>
    <border>
      <left/>
      <right style="thin">
        <color rgb="FFBFBFBF"/>
      </right>
      <top style="thin">
        <color rgb="FF1E5799"/>
      </top>
      <bottom style="thin">
        <color rgb="FFBFBFBF"/>
      </bottom>
      <diagonal/>
    </border>
    <border>
      <left style="thin">
        <color rgb="FFBFBFBF"/>
      </left>
      <right/>
      <top style="thin">
        <color rgb="FF1E5799"/>
      </top>
      <bottom style="thin">
        <color rgb="FFBFBFBF"/>
      </bottom>
      <diagonal/>
    </border>
    <border>
      <left/>
      <right style="medium">
        <color indexed="64"/>
      </right>
      <top style="thin">
        <color rgb="FF1E5799"/>
      </top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 style="medium">
        <color rgb="FF1E5799"/>
      </bottom>
      <diagonal/>
    </border>
    <border>
      <left style="medium">
        <color indexed="64"/>
      </left>
      <right/>
      <top style="medium">
        <color rgb="FF1E5799"/>
      </top>
      <bottom style="thin">
        <color rgb="FFBFBFBF"/>
      </bottom>
      <diagonal/>
    </border>
    <border>
      <left/>
      <right style="thin">
        <color rgb="FFBFBFBF"/>
      </right>
      <top style="medium">
        <color rgb="FF1E5799"/>
      </top>
      <bottom style="thin">
        <color rgb="FFBFBFBF"/>
      </bottom>
      <diagonal/>
    </border>
    <border>
      <left/>
      <right style="medium">
        <color indexed="64"/>
      </right>
      <top style="medium">
        <color rgb="FF1E5799"/>
      </top>
      <bottom style="thin">
        <color rgb="FFBFBFBF"/>
      </bottom>
      <diagonal/>
    </border>
    <border>
      <left style="medium">
        <color indexed="64"/>
      </left>
      <right style="thin">
        <color rgb="FF1A3A5C"/>
      </right>
      <top style="medium">
        <color rgb="FF1E5799"/>
      </top>
      <bottom/>
      <diagonal/>
    </border>
    <border>
      <left/>
      <right style="thin">
        <color rgb="FF1A3A5C"/>
      </right>
      <top/>
      <bottom style="thin">
        <color rgb="FF1A3A5C"/>
      </bottom>
      <diagonal/>
    </border>
    <border>
      <left style="thin">
        <color rgb="FF1A3A5C"/>
      </left>
      <right style="medium">
        <color indexed="64"/>
      </right>
      <top style="medium">
        <color rgb="FF1E5799"/>
      </top>
      <bottom/>
      <diagonal/>
    </border>
    <border>
      <left style="thin">
        <color rgb="FFBFBFBF"/>
      </left>
      <right/>
      <top style="thin">
        <color rgb="FF1A3A5C"/>
      </top>
      <bottom style="thin">
        <color rgb="FFBFBFBF"/>
      </bottom>
      <diagonal/>
    </border>
    <border>
      <left/>
      <right/>
      <top style="thin">
        <color rgb="FF1A3A5C"/>
      </top>
      <bottom style="thin">
        <color rgb="FFBFBFBF"/>
      </bottom>
      <diagonal/>
    </border>
    <border>
      <left/>
      <right style="thin">
        <color rgb="FFBFBFBF"/>
      </right>
      <top style="thin">
        <color rgb="FF1A3A5C"/>
      </top>
      <bottom style="thin">
        <color rgb="FFBFBFBF"/>
      </bottom>
      <diagonal/>
    </border>
    <border>
      <left/>
      <right style="thin">
        <color rgb="FFBFBFBF"/>
      </right>
      <top style="medium">
        <color rgb="FF1E5799"/>
      </top>
      <bottom style="medium">
        <color rgb="FF1E5799"/>
      </bottom>
      <diagonal/>
    </border>
    <border>
      <left style="thin">
        <color rgb="FFBFBFBF"/>
      </left>
      <right/>
      <top style="medium">
        <color rgb="FF1E5799"/>
      </top>
      <bottom style="medium">
        <color rgb="FF1E5799"/>
      </bottom>
      <diagonal/>
    </border>
    <border>
      <left style="medium">
        <color indexed="64"/>
      </left>
      <right/>
      <top/>
      <bottom style="medium">
        <color rgb="FF1E5799"/>
      </bottom>
      <diagonal/>
    </border>
    <border>
      <left/>
      <right/>
      <top/>
      <bottom style="medium">
        <color rgb="FF1E5799"/>
      </bottom>
      <diagonal/>
    </border>
    <border>
      <left/>
      <right style="medium">
        <color indexed="64"/>
      </right>
      <top/>
      <bottom style="medium">
        <color rgb="FF1E5799"/>
      </bottom>
      <diagonal/>
    </border>
    <border>
      <left/>
      <right style="medium">
        <color rgb="FF1E5799"/>
      </right>
      <top style="medium">
        <color rgb="FF1E5799"/>
      </top>
      <bottom style="medium">
        <color rgb="FF1E5799"/>
      </bottom>
      <diagonal/>
    </border>
    <border>
      <left style="medium">
        <color indexed="64"/>
      </left>
      <right/>
      <top style="medium">
        <color rgb="FF1E5799"/>
      </top>
      <bottom style="thin">
        <color rgb="FF1A3A5C"/>
      </bottom>
      <diagonal/>
    </border>
    <border>
      <left/>
      <right/>
      <top style="medium">
        <color rgb="FF1E5799"/>
      </top>
      <bottom style="thin">
        <color rgb="FF1A3A5C"/>
      </bottom>
      <diagonal/>
    </border>
    <border>
      <left/>
      <right style="medium">
        <color indexed="64"/>
      </right>
      <top style="medium">
        <color rgb="FF1E5799"/>
      </top>
      <bottom style="thin">
        <color rgb="FF1A3A5C"/>
      </bottom>
      <diagonal/>
    </border>
    <border>
      <left style="medium">
        <color indexed="64"/>
      </left>
      <right/>
      <top style="thin">
        <color rgb="FF1A3A5C"/>
      </top>
      <bottom style="medium">
        <color indexed="64"/>
      </bottom>
      <diagonal/>
    </border>
    <border>
      <left/>
      <right/>
      <top style="thin">
        <color rgb="FF1A3A5C"/>
      </top>
      <bottom style="medium">
        <color indexed="64"/>
      </bottom>
      <diagonal/>
    </border>
    <border>
      <left/>
      <right style="medium">
        <color indexed="64"/>
      </right>
      <top style="thin">
        <color rgb="FF1A3A5C"/>
      </top>
      <bottom style="medium">
        <color indexed="64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5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369">
    <xf numFmtId="0" fontId="0" fillId="0" borderId="0" xfId="0"/>
    <xf numFmtId="0" fontId="0" fillId="0" borderId="1" xfId="0" applyBorder="1"/>
    <xf numFmtId="0" fontId="3" fillId="0" borderId="4" xfId="0" applyFont="1" applyBorder="1" applyAlignment="1">
      <alignment horizontal="left" vertical="center"/>
    </xf>
    <xf numFmtId="0" fontId="0" fillId="0" borderId="3" xfId="0" applyBorder="1"/>
    <xf numFmtId="0" fontId="5" fillId="0" borderId="0" xfId="0" applyFont="1" applyAlignment="1">
      <alignment horizontal="center" vertical="center" wrapText="1"/>
    </xf>
    <xf numFmtId="0" fontId="0" fillId="0" borderId="14" xfId="0" applyBorder="1"/>
    <xf numFmtId="0" fontId="0" fillId="0" borderId="11" xfId="0" applyBorder="1"/>
    <xf numFmtId="0" fontId="0" fillId="0" borderId="9" xfId="0" applyBorder="1"/>
    <xf numFmtId="0" fontId="0" fillId="0" borderId="8" xfId="0" applyBorder="1"/>
    <xf numFmtId="0" fontId="0" fillId="0" borderId="7" xfId="0" applyBorder="1"/>
    <xf numFmtId="0" fontId="0" fillId="0" borderId="17" xfId="0" applyBorder="1"/>
    <xf numFmtId="0" fontId="12" fillId="4" borderId="5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1" fillId="7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3" borderId="0" xfId="0" applyFill="1"/>
    <xf numFmtId="2" fontId="0" fillId="3" borderId="0" xfId="0" applyNumberFormat="1" applyFill="1"/>
    <xf numFmtId="2" fontId="0" fillId="3" borderId="0" xfId="0" applyNumberFormat="1" applyFill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 wrapText="1"/>
    </xf>
    <xf numFmtId="167" fontId="1" fillId="8" borderId="5" xfId="0" applyNumberFormat="1" applyFont="1" applyFill="1" applyBorder="1" applyAlignment="1">
      <alignment horizontal="center"/>
    </xf>
    <xf numFmtId="165" fontId="1" fillId="8" borderId="5" xfId="0" applyNumberFormat="1" applyFont="1" applyFill="1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8" borderId="5" xfId="0" applyFill="1" applyBorder="1"/>
    <xf numFmtId="0" fontId="0" fillId="8" borderId="5" xfId="0" applyFill="1" applyBorder="1" applyAlignment="1">
      <alignment horizontal="center"/>
    </xf>
    <xf numFmtId="2" fontId="0" fillId="8" borderId="5" xfId="0" applyNumberForma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165" fontId="5" fillId="8" borderId="5" xfId="0" applyNumberFormat="1" applyFont="1" applyFill="1" applyBorder="1" applyAlignment="1">
      <alignment horizontal="center" vertical="center"/>
    </xf>
    <xf numFmtId="166" fontId="5" fillId="8" borderId="5" xfId="0" applyNumberFormat="1" applyFont="1" applyFill="1" applyBorder="1" applyAlignment="1">
      <alignment horizontal="center" vertical="center"/>
    </xf>
    <xf numFmtId="14" fontId="5" fillId="8" borderId="5" xfId="0" applyNumberFormat="1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16" fontId="5" fillId="8" borderId="5" xfId="0" applyNumberFormat="1" applyFont="1" applyFill="1" applyBorder="1" applyAlignment="1">
      <alignment horizontal="center" vertical="center"/>
    </xf>
    <xf numFmtId="166" fontId="5" fillId="8" borderId="5" xfId="0" applyNumberFormat="1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165" fontId="9" fillId="8" borderId="5" xfId="0" applyNumberFormat="1" applyFont="1" applyFill="1" applyBorder="1" applyAlignment="1">
      <alignment horizontal="center" vertical="center"/>
    </xf>
    <xf numFmtId="43" fontId="9" fillId="8" borderId="5" xfId="2" applyFont="1" applyFill="1" applyBorder="1" applyAlignment="1">
      <alignment horizontal="center" vertical="center"/>
    </xf>
    <xf numFmtId="0" fontId="5" fillId="8" borderId="5" xfId="0" quotePrefix="1" applyFont="1" applyFill="1" applyBorder="1" applyAlignment="1">
      <alignment horizontal="center" vertical="center"/>
    </xf>
    <xf numFmtId="3" fontId="9" fillId="8" borderId="5" xfId="0" applyNumberFormat="1" applyFont="1" applyFill="1" applyBorder="1" applyAlignment="1">
      <alignment horizontal="center" vertical="center"/>
    </xf>
    <xf numFmtId="165" fontId="9" fillId="8" borderId="5" xfId="2" applyNumberFormat="1" applyFont="1" applyFill="1" applyBorder="1" applyAlignment="1">
      <alignment horizontal="center" vertical="center"/>
    </xf>
    <xf numFmtId="166" fontId="9" fillId="8" borderId="5" xfId="0" applyNumberFormat="1" applyFont="1" applyFill="1" applyBorder="1" applyAlignment="1">
      <alignment horizontal="center" vertical="center"/>
    </xf>
    <xf numFmtId="12" fontId="5" fillId="8" borderId="5" xfId="0" applyNumberFormat="1" applyFont="1" applyFill="1" applyBorder="1" applyAlignment="1">
      <alignment horizontal="center" vertical="center"/>
    </xf>
    <xf numFmtId="43" fontId="5" fillId="8" borderId="5" xfId="2" applyFont="1" applyFill="1" applyBorder="1" applyAlignment="1">
      <alignment horizontal="center" vertical="center"/>
    </xf>
    <xf numFmtId="3" fontId="9" fillId="8" borderId="5" xfId="0" applyNumberFormat="1" applyFont="1" applyFill="1" applyBorder="1" applyAlignment="1">
      <alignment horizontal="center"/>
    </xf>
    <xf numFmtId="43" fontId="9" fillId="8" borderId="5" xfId="2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/>
    </xf>
    <xf numFmtId="166" fontId="5" fillId="8" borderId="15" xfId="0" applyNumberFormat="1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 wrapText="1"/>
    </xf>
    <xf numFmtId="167" fontId="0" fillId="8" borderId="5" xfId="0" applyNumberForma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/>
    </xf>
    <xf numFmtId="165" fontId="14" fillId="8" borderId="5" xfId="0" applyNumberFormat="1" applyFont="1" applyFill="1" applyBorder="1" applyAlignment="1">
      <alignment horizontal="center" vertical="center"/>
    </xf>
    <xf numFmtId="166" fontId="14" fillId="8" borderId="5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4" fontId="0" fillId="8" borderId="0" xfId="0" applyNumberFormat="1" applyFill="1"/>
    <xf numFmtId="2" fontId="1" fillId="3" borderId="0" xfId="0" applyNumberFormat="1" applyFont="1" applyFill="1" applyAlignment="1">
      <alignment horizontal="left"/>
    </xf>
    <xf numFmtId="0" fontId="0" fillId="0" borderId="18" xfId="0" applyBorder="1"/>
    <xf numFmtId="2" fontId="4" fillId="3" borderId="0" xfId="0" applyNumberFormat="1" applyFont="1" applyFill="1" applyAlignment="1">
      <alignment horizontal="center"/>
    </xf>
    <xf numFmtId="0" fontId="1" fillId="6" borderId="5" xfId="0" applyFont="1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  <xf numFmtId="9" fontId="0" fillId="8" borderId="5" xfId="3" applyFont="1" applyFill="1" applyBorder="1" applyAlignment="1">
      <alignment horizontal="center"/>
    </xf>
    <xf numFmtId="0" fontId="1" fillId="3" borderId="2" xfId="0" applyFont="1" applyFill="1" applyBorder="1" applyAlignment="1">
      <alignment horizontal="right"/>
    </xf>
    <xf numFmtId="1" fontId="1" fillId="3" borderId="3" xfId="0" applyNumberFormat="1" applyFont="1" applyFill="1" applyBorder="1" applyAlignment="1">
      <alignment horizontal="center"/>
    </xf>
    <xf numFmtId="2" fontId="1" fillId="3" borderId="4" xfId="0" applyNumberFormat="1" applyFont="1" applyFill="1" applyBorder="1" applyAlignment="1">
      <alignment horizontal="center"/>
    </xf>
    <xf numFmtId="2" fontId="0" fillId="8" borderId="5" xfId="0" quotePrefix="1" applyNumberForma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5" fillId="0" borderId="18" xfId="0" applyFont="1" applyBorder="1"/>
    <xf numFmtId="0" fontId="15" fillId="0" borderId="17" xfId="0" applyFont="1" applyBorder="1"/>
    <xf numFmtId="0" fontId="15" fillId="0" borderId="0" xfId="0" applyFont="1"/>
    <xf numFmtId="0" fontId="0" fillId="8" borderId="5" xfId="0" quotePrefix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67" fontId="1" fillId="7" borderId="5" xfId="0" applyNumberFormat="1" applyFont="1" applyFill="1" applyBorder="1" applyAlignment="1">
      <alignment horizontal="center"/>
    </xf>
    <xf numFmtId="1" fontId="0" fillId="8" borderId="5" xfId="0" applyNumberForma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9" fillId="0" borderId="4" xfId="0" applyFont="1" applyBorder="1"/>
    <xf numFmtId="0" fontId="2" fillId="2" borderId="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5" xfId="0" applyFont="1" applyFill="1" applyBorder="1"/>
    <xf numFmtId="0" fontId="21" fillId="0" borderId="19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0" fillId="3" borderId="5" xfId="0" applyFont="1" applyFill="1" applyBorder="1" applyAlignment="1">
      <alignment horizontal="center"/>
    </xf>
    <xf numFmtId="0" fontId="15" fillId="8" borderId="0" xfId="0" applyFont="1" applyFill="1"/>
    <xf numFmtId="0" fontId="3" fillId="8" borderId="21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0" fillId="8" borderId="15" xfId="0" applyFill="1" applyBorder="1"/>
    <xf numFmtId="165" fontId="5" fillId="8" borderId="15" xfId="0" applyNumberFormat="1" applyFont="1" applyFill="1" applyBorder="1" applyAlignment="1">
      <alignment horizontal="center" vertical="center"/>
    </xf>
    <xf numFmtId="165" fontId="14" fillId="8" borderId="15" xfId="0" applyNumberFormat="1" applyFont="1" applyFill="1" applyBorder="1" applyAlignment="1">
      <alignment horizontal="center" vertical="center"/>
    </xf>
    <xf numFmtId="14" fontId="5" fillId="8" borderId="1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15" fillId="8" borderId="5" xfId="0" applyFont="1" applyFill="1" applyBorder="1"/>
    <xf numFmtId="2" fontId="23" fillId="3" borderId="0" xfId="0" applyNumberFormat="1" applyFont="1" applyFill="1" applyAlignment="1">
      <alignment horizontal="center"/>
    </xf>
    <xf numFmtId="1" fontId="23" fillId="3" borderId="0" xfId="0" applyNumberFormat="1" applyFont="1" applyFill="1" applyAlignment="1">
      <alignment horizontal="center"/>
    </xf>
    <xf numFmtId="165" fontId="5" fillId="8" borderId="5" xfId="0" applyNumberFormat="1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/>
    </xf>
    <xf numFmtId="0" fontId="20" fillId="3" borderId="12" xfId="0" applyFont="1" applyFill="1" applyBorder="1" applyAlignment="1">
      <alignment horizontal="center"/>
    </xf>
    <xf numFmtId="0" fontId="20" fillId="3" borderId="13" xfId="0" applyFont="1" applyFill="1" applyBorder="1" applyAlignment="1">
      <alignment horizontal="center"/>
    </xf>
    <xf numFmtId="168" fontId="5" fillId="8" borderId="5" xfId="0" applyNumberFormat="1" applyFont="1" applyFill="1" applyBorder="1" applyAlignment="1">
      <alignment horizontal="center" vertical="center" wrapText="1"/>
    </xf>
    <xf numFmtId="169" fontId="22" fillId="3" borderId="5" xfId="0" applyNumberFormat="1" applyFont="1" applyFill="1" applyBorder="1" applyAlignment="1">
      <alignment horizontal="center"/>
    </xf>
    <xf numFmtId="170" fontId="20" fillId="3" borderId="5" xfId="0" applyNumberFormat="1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20" fontId="0" fillId="3" borderId="0" xfId="0" applyNumberFormat="1" applyFill="1"/>
    <xf numFmtId="169" fontId="22" fillId="3" borderId="5" xfId="0" quotePrefix="1" applyNumberFormat="1" applyFont="1" applyFill="1" applyBorder="1" applyAlignment="1">
      <alignment horizontal="center"/>
    </xf>
    <xf numFmtId="2" fontId="20" fillId="3" borderId="5" xfId="0" applyNumberFormat="1" applyFont="1" applyFill="1" applyBorder="1" applyAlignment="1">
      <alignment horizontal="center"/>
    </xf>
    <xf numFmtId="0" fontId="0" fillId="10" borderId="0" xfId="0" applyFill="1"/>
    <xf numFmtId="9" fontId="1" fillId="3" borderId="4" xfId="3" applyFont="1" applyFill="1" applyBorder="1" applyAlignment="1">
      <alignment horizontal="center"/>
    </xf>
    <xf numFmtId="0" fontId="6" fillId="8" borderId="4" xfId="0" applyFont="1" applyFill="1" applyBorder="1" applyAlignment="1">
      <alignment vertical="center"/>
    </xf>
    <xf numFmtId="0" fontId="6" fillId="8" borderId="2" xfId="0" applyFont="1" applyFill="1" applyBorder="1" applyAlignment="1">
      <alignment vertical="center"/>
    </xf>
    <xf numFmtId="0" fontId="19" fillId="0" borderId="0" xfId="0" applyFont="1"/>
    <xf numFmtId="0" fontId="6" fillId="8" borderId="1" xfId="0" applyFont="1" applyFill="1" applyBorder="1" applyAlignment="1">
      <alignment vertical="center"/>
    </xf>
    <xf numFmtId="0" fontId="19" fillId="8" borderId="0" xfId="0" applyFont="1" applyFill="1"/>
    <xf numFmtId="0" fontId="6" fillId="0" borderId="1" xfId="0" applyFont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30" fillId="0" borderId="0" xfId="0" applyFont="1"/>
    <xf numFmtId="0" fontId="32" fillId="12" borderId="29" xfId="0" applyFont="1" applyFill="1" applyBorder="1" applyAlignment="1">
      <alignment horizontal="center" vertical="center"/>
    </xf>
    <xf numFmtId="0" fontId="32" fillId="12" borderId="30" xfId="0" applyFont="1" applyFill="1" applyBorder="1" applyAlignment="1">
      <alignment horizontal="center" vertical="center"/>
    </xf>
    <xf numFmtId="0" fontId="35" fillId="13" borderId="43" xfId="0" applyFont="1" applyFill="1" applyBorder="1" applyAlignment="1">
      <alignment horizontal="center" vertical="center"/>
    </xf>
    <xf numFmtId="0" fontId="35" fillId="13" borderId="44" xfId="0" applyFont="1" applyFill="1" applyBorder="1" applyAlignment="1">
      <alignment horizontal="center" vertical="center"/>
    </xf>
    <xf numFmtId="0" fontId="37" fillId="15" borderId="33" xfId="0" applyFont="1" applyFill="1" applyBorder="1" applyAlignment="1">
      <alignment horizontal="center" vertical="center"/>
    </xf>
    <xf numFmtId="0" fontId="32" fillId="11" borderId="48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8" fillId="16" borderId="43" xfId="0" applyFont="1" applyFill="1" applyBorder="1" applyAlignment="1">
      <alignment horizontal="center" vertical="center"/>
    </xf>
    <xf numFmtId="0" fontId="39" fillId="16" borderId="44" xfId="0" applyFont="1" applyFill="1" applyBorder="1" applyAlignment="1">
      <alignment horizontal="center" vertical="center"/>
    </xf>
    <xf numFmtId="0" fontId="39" fillId="14" borderId="44" xfId="0" applyFont="1" applyFill="1" applyBorder="1" applyAlignment="1">
      <alignment horizontal="center" vertical="center"/>
    </xf>
    <xf numFmtId="0" fontId="39" fillId="16" borderId="83" xfId="0" applyFont="1" applyFill="1" applyBorder="1" applyAlignment="1">
      <alignment vertical="center"/>
    </xf>
    <xf numFmtId="0" fontId="39" fillId="16" borderId="84" xfId="0" applyFont="1" applyFill="1" applyBorder="1" applyAlignment="1">
      <alignment vertical="center"/>
    </xf>
    <xf numFmtId="0" fontId="39" fillId="16" borderId="85" xfId="0" applyFont="1" applyFill="1" applyBorder="1" applyAlignment="1">
      <alignment vertical="center"/>
    </xf>
    <xf numFmtId="16" fontId="39" fillId="16" borderId="44" xfId="0" applyNumberFormat="1" applyFont="1" applyFill="1" applyBorder="1" applyAlignment="1">
      <alignment horizontal="center" vertical="center"/>
    </xf>
    <xf numFmtId="0" fontId="43" fillId="13" borderId="33" xfId="0" applyFont="1" applyFill="1" applyBorder="1" applyAlignment="1">
      <alignment vertical="center"/>
    </xf>
    <xf numFmtId="0" fontId="39" fillId="17" borderId="33" xfId="0" applyFont="1" applyFill="1" applyBorder="1" applyAlignment="1">
      <alignment horizontal="center" vertical="center"/>
    </xf>
    <xf numFmtId="0" fontId="39" fillId="17" borderId="31" xfId="0" applyFont="1" applyFill="1" applyBorder="1" applyAlignment="1">
      <alignment vertical="center"/>
    </xf>
    <xf numFmtId="0" fontId="39" fillId="17" borderId="32" xfId="0" applyFont="1" applyFill="1" applyBorder="1" applyAlignment="1">
      <alignment vertical="center"/>
    </xf>
    <xf numFmtId="0" fontId="39" fillId="17" borderId="56" xfId="0" applyFont="1" applyFill="1" applyBorder="1" applyAlignment="1">
      <alignment vertical="center"/>
    </xf>
    <xf numFmtId="0" fontId="39" fillId="17" borderId="33" xfId="0" applyFont="1" applyFill="1" applyBorder="1" applyAlignment="1">
      <alignment vertical="center"/>
    </xf>
    <xf numFmtId="0" fontId="39" fillId="17" borderId="35" xfId="0" applyFont="1" applyFill="1" applyBorder="1" applyAlignment="1">
      <alignment vertical="center"/>
    </xf>
    <xf numFmtId="0" fontId="39" fillId="17" borderId="76" xfId="0" applyFont="1" applyFill="1" applyBorder="1" applyAlignment="1">
      <alignment vertical="center"/>
    </xf>
    <xf numFmtId="0" fontId="39" fillId="17" borderId="37" xfId="0" applyFont="1" applyFill="1" applyBorder="1" applyAlignment="1">
      <alignment vertical="center"/>
    </xf>
    <xf numFmtId="0" fontId="39" fillId="17" borderId="38" xfId="0" applyFont="1" applyFill="1" applyBorder="1" applyAlignment="1">
      <alignment vertical="center"/>
    </xf>
    <xf numFmtId="0" fontId="39" fillId="17" borderId="36" xfId="0" applyFont="1" applyFill="1" applyBorder="1" applyAlignment="1">
      <alignment vertical="center"/>
    </xf>
    <xf numFmtId="16" fontId="39" fillId="17" borderId="38" xfId="0" applyNumberFormat="1" applyFont="1" applyFill="1" applyBorder="1" applyAlignment="1">
      <alignment vertical="center"/>
    </xf>
    <xf numFmtId="0" fontId="46" fillId="13" borderId="44" xfId="0" applyFont="1" applyFill="1" applyBorder="1" applyAlignment="1">
      <alignment horizontal="center" vertical="center"/>
    </xf>
    <xf numFmtId="0" fontId="47" fillId="13" borderId="45" xfId="0" applyFont="1" applyFill="1" applyBorder="1" applyAlignment="1">
      <alignment vertical="center"/>
    </xf>
    <xf numFmtId="0" fontId="43" fillId="13" borderId="33" xfId="0" applyFont="1" applyFill="1" applyBorder="1" applyAlignment="1">
      <alignment horizontal="center" vertical="center"/>
    </xf>
    <xf numFmtId="0" fontId="48" fillId="17" borderId="38" xfId="0" applyFont="1" applyFill="1" applyBorder="1" applyAlignment="1">
      <alignment vertical="center"/>
    </xf>
    <xf numFmtId="167" fontId="39" fillId="17" borderId="36" xfId="0" applyNumberFormat="1" applyFont="1" applyFill="1" applyBorder="1" applyAlignment="1">
      <alignment vertical="center"/>
    </xf>
    <xf numFmtId="167" fontId="48" fillId="17" borderId="37" xfId="0" applyNumberFormat="1" applyFont="1" applyFill="1" applyBorder="1" applyAlignment="1">
      <alignment vertical="center"/>
    </xf>
    <xf numFmtId="0" fontId="48" fillId="16" borderId="34" xfId="0" applyFont="1" applyFill="1" applyBorder="1" applyAlignment="1">
      <alignment horizontal="center" vertical="center"/>
    </xf>
    <xf numFmtId="9" fontId="0" fillId="3" borderId="0" xfId="3" applyFont="1" applyFill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0" fillId="3" borderId="12" xfId="0" applyFont="1" applyFill="1" applyBorder="1" applyAlignment="1">
      <alignment horizontal="center"/>
    </xf>
    <xf numFmtId="0" fontId="20" fillId="3" borderId="1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6" fillId="8" borderId="1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29" fillId="12" borderId="39" xfId="0" applyFont="1" applyFill="1" applyBorder="1" applyAlignment="1">
      <alignment horizontal="left" vertical="center"/>
    </xf>
    <xf numFmtId="0" fontId="29" fillId="12" borderId="40" xfId="0" applyFont="1" applyFill="1" applyBorder="1" applyAlignment="1">
      <alignment horizontal="left" vertical="center"/>
    </xf>
    <xf numFmtId="0" fontId="29" fillId="12" borderId="41" xfId="0" applyFont="1" applyFill="1" applyBorder="1" applyAlignment="1">
      <alignment horizontal="left" vertical="center"/>
    </xf>
    <xf numFmtId="0" fontId="30" fillId="16" borderId="39" xfId="0" applyFont="1" applyFill="1" applyBorder="1"/>
    <xf numFmtId="0" fontId="30" fillId="16" borderId="40" xfId="0" applyFont="1" applyFill="1" applyBorder="1"/>
    <xf numFmtId="0" fontId="30" fillId="16" borderId="91" xfId="0" applyFont="1" applyFill="1" applyBorder="1"/>
    <xf numFmtId="0" fontId="30" fillId="16" borderId="60" xfId="0" applyFont="1" applyFill="1" applyBorder="1"/>
    <xf numFmtId="0" fontId="30" fillId="16" borderId="41" xfId="0" applyFont="1" applyFill="1" applyBorder="1"/>
    <xf numFmtId="0" fontId="34" fillId="12" borderId="39" xfId="0" applyFont="1" applyFill="1" applyBorder="1" applyAlignment="1">
      <alignment horizontal="right" vertical="center"/>
    </xf>
    <xf numFmtId="0" fontId="34" fillId="12" borderId="40" xfId="0" applyFont="1" applyFill="1" applyBorder="1" applyAlignment="1">
      <alignment horizontal="right" vertical="center"/>
    </xf>
    <xf numFmtId="0" fontId="34" fillId="12" borderId="86" xfId="0" applyFont="1" applyFill="1" applyBorder="1" applyAlignment="1">
      <alignment horizontal="right" vertical="center"/>
    </xf>
    <xf numFmtId="0" fontId="35" fillId="13" borderId="87" xfId="0" applyFont="1" applyFill="1" applyBorder="1" applyAlignment="1">
      <alignment horizontal="center" vertical="center"/>
    </xf>
    <xf numFmtId="0" fontId="35" fillId="13" borderId="86" xfId="0" applyFont="1" applyFill="1" applyBorder="1" applyAlignment="1">
      <alignment horizontal="center" vertical="center"/>
    </xf>
    <xf numFmtId="0" fontId="33" fillId="13" borderId="87" xfId="0" applyFont="1" applyFill="1" applyBorder="1" applyAlignment="1">
      <alignment horizontal="left" vertical="center"/>
    </xf>
    <xf numFmtId="0" fontId="33" fillId="13" borderId="41" xfId="0" applyFont="1" applyFill="1" applyBorder="1" applyAlignment="1">
      <alignment horizontal="left" vertical="center"/>
    </xf>
    <xf numFmtId="0" fontId="49" fillId="17" borderId="57" xfId="0" applyFont="1" applyFill="1" applyBorder="1" applyAlignment="1">
      <alignment horizontal="center" vertical="center" wrapText="1"/>
    </xf>
    <xf numFmtId="0" fontId="49" fillId="17" borderId="58" xfId="0" applyFont="1" applyFill="1" applyBorder="1" applyAlignment="1">
      <alignment horizontal="center" vertical="center" wrapText="1"/>
    </xf>
    <xf numFmtId="0" fontId="49" fillId="17" borderId="59" xfId="0" applyFont="1" applyFill="1" applyBorder="1" applyAlignment="1">
      <alignment horizontal="center" vertical="center" wrapText="1"/>
    </xf>
    <xf numFmtId="0" fontId="49" fillId="17" borderId="18" xfId="0" applyFont="1" applyFill="1" applyBorder="1" applyAlignment="1">
      <alignment horizontal="center" vertical="center" wrapText="1"/>
    </xf>
    <xf numFmtId="0" fontId="49" fillId="17" borderId="0" xfId="0" applyFont="1" applyFill="1" applyAlignment="1">
      <alignment horizontal="center" vertical="center" wrapText="1"/>
    </xf>
    <xf numFmtId="0" fontId="49" fillId="17" borderId="17" xfId="0" applyFont="1" applyFill="1" applyBorder="1" applyAlignment="1">
      <alignment horizontal="center" vertical="center" wrapText="1"/>
    </xf>
    <xf numFmtId="0" fontId="49" fillId="17" borderId="88" xfId="0" applyFont="1" applyFill="1" applyBorder="1" applyAlignment="1">
      <alignment horizontal="center" vertical="center" wrapText="1"/>
    </xf>
    <xf numFmtId="0" fontId="49" fillId="17" borderId="89" xfId="0" applyFont="1" applyFill="1" applyBorder="1" applyAlignment="1">
      <alignment horizontal="center" vertical="center" wrapText="1"/>
    </xf>
    <xf numFmtId="0" fontId="49" fillId="17" borderId="90" xfId="0" applyFont="1" applyFill="1" applyBorder="1" applyAlignment="1">
      <alignment horizontal="center" vertical="center" wrapText="1"/>
    </xf>
    <xf numFmtId="0" fontId="41" fillId="18" borderId="92" xfId="0" applyFont="1" applyFill="1" applyBorder="1" applyAlignment="1">
      <alignment horizontal="left"/>
    </xf>
    <xf numFmtId="0" fontId="41" fillId="18" borderId="93" xfId="0" applyFont="1" applyFill="1" applyBorder="1" applyAlignment="1">
      <alignment horizontal="left"/>
    </xf>
    <xf numFmtId="0" fontId="41" fillId="18" borderId="94" xfId="0" applyFont="1" applyFill="1" applyBorder="1" applyAlignment="1">
      <alignment horizontal="left"/>
    </xf>
    <xf numFmtId="0" fontId="29" fillId="11" borderId="61" xfId="0" applyFont="1" applyFill="1" applyBorder="1" applyAlignment="1">
      <alignment horizontal="center" vertical="center"/>
    </xf>
    <xf numFmtId="0" fontId="29" fillId="11" borderId="62" xfId="0" applyFont="1" applyFill="1" applyBorder="1" applyAlignment="1">
      <alignment horizontal="center" vertical="center"/>
    </xf>
    <xf numFmtId="0" fontId="29" fillId="11" borderId="63" xfId="0" applyFont="1" applyFill="1" applyBorder="1" applyAlignment="1">
      <alignment horizontal="center" vertical="center"/>
    </xf>
    <xf numFmtId="0" fontId="42" fillId="16" borderId="95" xfId="0" applyFont="1" applyFill="1" applyBorder="1" applyAlignment="1">
      <alignment horizontal="left" vertical="center"/>
    </xf>
    <xf numFmtId="0" fontId="42" fillId="16" borderId="96" xfId="0" applyFont="1" applyFill="1" applyBorder="1" applyAlignment="1">
      <alignment horizontal="left" vertical="center"/>
    </xf>
    <xf numFmtId="0" fontId="42" fillId="16" borderId="97" xfId="0" applyFont="1" applyFill="1" applyBorder="1" applyAlignment="1">
      <alignment horizontal="left" vertical="center"/>
    </xf>
    <xf numFmtId="0" fontId="40" fillId="18" borderId="39" xfId="0" applyFont="1" applyFill="1" applyBorder="1" applyAlignment="1">
      <alignment horizontal="center" vertical="center"/>
    </xf>
    <xf numFmtId="0" fontId="40" fillId="18" borderId="40" xfId="0" applyFont="1" applyFill="1" applyBorder="1" applyAlignment="1">
      <alignment horizontal="center" vertical="center"/>
    </xf>
    <xf numFmtId="0" fontId="40" fillId="18" borderId="86" xfId="0" applyFont="1" applyFill="1" applyBorder="1" applyAlignment="1">
      <alignment horizontal="center" vertical="center"/>
    </xf>
    <xf numFmtId="0" fontId="40" fillId="18" borderId="87" xfId="0" applyFont="1" applyFill="1" applyBorder="1" applyAlignment="1">
      <alignment horizontal="center" vertical="center"/>
    </xf>
    <xf numFmtId="0" fontId="40" fillId="18" borderId="41" xfId="0" applyFont="1" applyFill="1" applyBorder="1" applyAlignment="1">
      <alignment horizontal="center" vertical="center"/>
    </xf>
    <xf numFmtId="0" fontId="30" fillId="0" borderId="18" xfId="0" applyFont="1" applyBorder="1"/>
    <xf numFmtId="0" fontId="30" fillId="0" borderId="0" xfId="0" applyFont="1"/>
    <xf numFmtId="0" fontId="32" fillId="11" borderId="80" xfId="0" applyFont="1" applyFill="1" applyBorder="1" applyAlignment="1">
      <alignment horizontal="center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53" xfId="0" applyFont="1" applyFill="1" applyBorder="1" applyAlignment="1">
      <alignment horizontal="center" vertical="center" wrapText="1"/>
    </xf>
    <xf numFmtId="0" fontId="32" fillId="11" borderId="58" xfId="0" applyFont="1" applyFill="1" applyBorder="1" applyAlignment="1">
      <alignment horizontal="center" vertical="center" wrapText="1"/>
    </xf>
    <xf numFmtId="0" fontId="32" fillId="11" borderId="54" xfId="0" applyFont="1" applyFill="1" applyBorder="1" applyAlignment="1">
      <alignment horizontal="center" vertical="center" wrapText="1"/>
    </xf>
    <xf numFmtId="0" fontId="32" fillId="11" borderId="50" xfId="0" applyFont="1" applyFill="1" applyBorder="1" applyAlignment="1">
      <alignment horizontal="center" vertical="center" wrapText="1"/>
    </xf>
    <xf numFmtId="0" fontId="32" fillId="11" borderId="51" xfId="0" applyFont="1" applyFill="1" applyBorder="1" applyAlignment="1">
      <alignment horizontal="center" vertical="center" wrapText="1"/>
    </xf>
    <xf numFmtId="0" fontId="32" fillId="11" borderId="81" xfId="0" applyFont="1" applyFill="1" applyBorder="1" applyAlignment="1">
      <alignment horizontal="center" vertical="center" wrapText="1"/>
    </xf>
    <xf numFmtId="0" fontId="32" fillId="11" borderId="52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2" fillId="11" borderId="82" xfId="0" applyFont="1" applyFill="1" applyBorder="1" applyAlignment="1">
      <alignment horizontal="center" vertical="center" wrapText="1"/>
    </xf>
    <xf numFmtId="0" fontId="32" fillId="11" borderId="55" xfId="0" applyFont="1" applyFill="1" applyBorder="1" applyAlignment="1">
      <alignment horizontal="center" vertical="center" wrapText="1"/>
    </xf>
    <xf numFmtId="0" fontId="32" fillId="11" borderId="53" xfId="0" applyFont="1" applyFill="1" applyBorder="1" applyAlignment="1">
      <alignment horizontal="center" vertical="center"/>
    </xf>
    <xf numFmtId="0" fontId="32" fillId="11" borderId="54" xfId="0" applyFont="1" applyFill="1" applyBorder="1" applyAlignment="1">
      <alignment horizontal="center" vertical="center"/>
    </xf>
    <xf numFmtId="0" fontId="32" fillId="11" borderId="50" xfId="0" applyFont="1" applyFill="1" applyBorder="1" applyAlignment="1">
      <alignment horizontal="center" vertical="center"/>
    </xf>
    <xf numFmtId="0" fontId="32" fillId="11" borderId="81" xfId="0" applyFont="1" applyFill="1" applyBorder="1" applyAlignment="1">
      <alignment horizontal="center" vertical="center"/>
    </xf>
    <xf numFmtId="0" fontId="37" fillId="15" borderId="76" xfId="0" applyFont="1" applyFill="1" applyBorder="1" applyAlignment="1">
      <alignment horizontal="center" vertical="center"/>
    </xf>
    <xf numFmtId="0" fontId="37" fillId="15" borderId="37" xfId="0" applyFont="1" applyFill="1" applyBorder="1" applyAlignment="1">
      <alignment horizontal="center" vertical="center"/>
    </xf>
    <xf numFmtId="0" fontId="37" fillId="15" borderId="38" xfId="0" applyFont="1" applyFill="1" applyBorder="1" applyAlignment="1">
      <alignment horizontal="center" vertical="center"/>
    </xf>
    <xf numFmtId="0" fontId="37" fillId="15" borderId="36" xfId="0" applyFont="1" applyFill="1" applyBorder="1" applyAlignment="1">
      <alignment horizontal="center" vertical="center" wrapText="1"/>
    </xf>
    <xf numFmtId="0" fontId="37" fillId="15" borderId="37" xfId="0" applyFont="1" applyFill="1" applyBorder="1" applyAlignment="1">
      <alignment horizontal="center" vertical="center" wrapText="1"/>
    </xf>
    <xf numFmtId="0" fontId="37" fillId="15" borderId="38" xfId="0" applyFont="1" applyFill="1" applyBorder="1" applyAlignment="1">
      <alignment horizontal="center" vertical="center" wrapText="1"/>
    </xf>
    <xf numFmtId="2" fontId="37" fillId="15" borderId="36" xfId="0" applyNumberFormat="1" applyFont="1" applyFill="1" applyBorder="1" applyAlignment="1">
      <alignment horizontal="center" vertical="center"/>
    </xf>
    <xf numFmtId="2" fontId="37" fillId="15" borderId="37" xfId="0" applyNumberFormat="1" applyFont="1" applyFill="1" applyBorder="1" applyAlignment="1">
      <alignment horizontal="center" vertical="center"/>
    </xf>
    <xf numFmtId="2" fontId="37" fillId="15" borderId="38" xfId="0" applyNumberFormat="1" applyFont="1" applyFill="1" applyBorder="1" applyAlignment="1">
      <alignment horizontal="center" vertical="center"/>
    </xf>
    <xf numFmtId="0" fontId="37" fillId="15" borderId="36" xfId="0" applyFont="1" applyFill="1" applyBorder="1" applyAlignment="1">
      <alignment horizontal="center" vertical="center"/>
    </xf>
    <xf numFmtId="0" fontId="37" fillId="15" borderId="42" xfId="0" applyFont="1" applyFill="1" applyBorder="1" applyAlignment="1">
      <alignment horizontal="center" vertical="center"/>
    </xf>
    <xf numFmtId="0" fontId="39" fillId="16" borderId="33" xfId="0" applyFont="1" applyFill="1" applyBorder="1" applyAlignment="1">
      <alignment horizontal="left" vertical="center"/>
    </xf>
    <xf numFmtId="0" fontId="39" fillId="16" borderId="32" xfId="0" applyFont="1" applyFill="1" applyBorder="1" applyAlignment="1">
      <alignment horizontal="left" vertical="center"/>
    </xf>
    <xf numFmtId="0" fontId="39" fillId="16" borderId="56" xfId="0" applyFont="1" applyFill="1" applyBorder="1" applyAlignment="1">
      <alignment horizontal="left" vertical="center"/>
    </xf>
    <xf numFmtId="0" fontId="39" fillId="16" borderId="35" xfId="0" applyFont="1" applyFill="1" applyBorder="1" applyAlignment="1">
      <alignment horizontal="left" vertical="center"/>
    </xf>
    <xf numFmtId="0" fontId="36" fillId="13" borderId="76" xfId="0" applyFont="1" applyFill="1" applyBorder="1" applyAlignment="1">
      <alignment horizontal="left" vertical="center"/>
    </xf>
    <xf numFmtId="0" fontId="36" fillId="13" borderId="37" xfId="0" applyFont="1" applyFill="1" applyBorder="1" applyAlignment="1">
      <alignment horizontal="left" vertical="center"/>
    </xf>
    <xf numFmtId="0" fontId="36" fillId="13" borderId="38" xfId="0" applyFont="1" applyFill="1" applyBorder="1" applyAlignment="1">
      <alignment horizontal="left" vertical="center"/>
    </xf>
    <xf numFmtId="0" fontId="33" fillId="17" borderId="36" xfId="0" applyFont="1" applyFill="1" applyBorder="1" applyAlignment="1">
      <alignment horizontal="center" vertical="center"/>
    </xf>
    <xf numFmtId="0" fontId="33" fillId="17" borderId="37" xfId="0" applyFont="1" applyFill="1" applyBorder="1" applyAlignment="1">
      <alignment horizontal="center" vertical="center"/>
    </xf>
    <xf numFmtId="0" fontId="33" fillId="17" borderId="38" xfId="0" applyFont="1" applyFill="1" applyBorder="1" applyAlignment="1">
      <alignment horizontal="center" vertical="center"/>
    </xf>
    <xf numFmtId="0" fontId="33" fillId="16" borderId="36" xfId="0" applyFont="1" applyFill="1" applyBorder="1" applyAlignment="1">
      <alignment horizontal="left" vertical="center"/>
    </xf>
    <xf numFmtId="0" fontId="33" fillId="16" borderId="37" xfId="0" applyFont="1" applyFill="1" applyBorder="1" applyAlignment="1">
      <alignment horizontal="left" vertical="center"/>
    </xf>
    <xf numFmtId="0" fontId="33" fillId="16" borderId="42" xfId="0" applyFont="1" applyFill="1" applyBorder="1" applyAlignment="1">
      <alignment horizontal="left" vertical="center"/>
    </xf>
    <xf numFmtId="0" fontId="47" fillId="13" borderId="77" xfId="0" applyFont="1" applyFill="1" applyBorder="1" applyAlignment="1">
      <alignment horizontal="center" vertical="center"/>
    </xf>
    <xf numFmtId="0" fontId="47" fillId="13" borderId="46" xfId="0" applyFont="1" applyFill="1" applyBorder="1" applyAlignment="1">
      <alignment horizontal="center" vertical="center"/>
    </xf>
    <xf numFmtId="0" fontId="47" fillId="13" borderId="78" xfId="0" applyFont="1" applyFill="1" applyBorder="1" applyAlignment="1">
      <alignment horizontal="center" vertical="center"/>
    </xf>
    <xf numFmtId="0" fontId="47" fillId="13" borderId="45" xfId="0" applyFont="1" applyFill="1" applyBorder="1" applyAlignment="1">
      <alignment horizontal="center" vertical="center"/>
    </xf>
    <xf numFmtId="0" fontId="47" fillId="13" borderId="79" xfId="0" applyFont="1" applyFill="1" applyBorder="1" applyAlignment="1">
      <alignment horizontal="center" vertical="center"/>
    </xf>
    <xf numFmtId="0" fontId="34" fillId="12" borderId="39" xfId="0" applyFont="1" applyFill="1" applyBorder="1" applyAlignment="1">
      <alignment horizontal="left" vertical="center"/>
    </xf>
    <xf numFmtId="0" fontId="34" fillId="12" borderId="40" xfId="0" applyFont="1" applyFill="1" applyBorder="1" applyAlignment="1">
      <alignment horizontal="left" vertical="center"/>
    </xf>
    <xf numFmtId="0" fontId="34" fillId="12" borderId="41" xfId="0" applyFont="1" applyFill="1" applyBorder="1" applyAlignment="1">
      <alignment horizontal="left" vertical="center"/>
    </xf>
    <xf numFmtId="0" fontId="39" fillId="16" borderId="45" xfId="0" applyFont="1" applyFill="1" applyBorder="1" applyAlignment="1">
      <alignment horizontal="left" vertical="center"/>
    </xf>
    <xf numFmtId="0" fontId="39" fillId="16" borderId="46" xfId="0" applyFont="1" applyFill="1" applyBorder="1" applyAlignment="1">
      <alignment horizontal="left" vertical="center"/>
    </xf>
    <xf numFmtId="0" fontId="39" fillId="16" borderId="78" xfId="0" applyFont="1" applyFill="1" applyBorder="1" applyAlignment="1">
      <alignment horizontal="left" vertical="center"/>
    </xf>
    <xf numFmtId="0" fontId="39" fillId="16" borderId="79" xfId="0" applyFont="1" applyFill="1" applyBorder="1" applyAlignment="1">
      <alignment horizontal="left" vertical="center"/>
    </xf>
    <xf numFmtId="0" fontId="43" fillId="13" borderId="31" xfId="0" applyFont="1" applyFill="1" applyBorder="1" applyAlignment="1">
      <alignment horizontal="left" vertical="center"/>
    </xf>
    <xf numFmtId="0" fontId="43" fillId="13" borderId="32" xfId="0" applyFont="1" applyFill="1" applyBorder="1" applyAlignment="1">
      <alignment horizontal="left" vertical="center"/>
    </xf>
    <xf numFmtId="0" fontId="43" fillId="13" borderId="56" xfId="0" applyFont="1" applyFill="1" applyBorder="1" applyAlignment="1">
      <alignment horizontal="left" vertical="center"/>
    </xf>
    <xf numFmtId="0" fontId="43" fillId="13" borderId="33" xfId="0" applyFont="1" applyFill="1" applyBorder="1" applyAlignment="1">
      <alignment horizontal="left" vertical="center"/>
    </xf>
    <xf numFmtId="0" fontId="43" fillId="13" borderId="35" xfId="0" applyFont="1" applyFill="1" applyBorder="1" applyAlignment="1">
      <alignment horizontal="left" vertical="center"/>
    </xf>
    <xf numFmtId="0" fontId="39" fillId="17" borderId="76" xfId="0" applyFont="1" applyFill="1" applyBorder="1" applyAlignment="1">
      <alignment horizontal="center" vertical="center"/>
    </xf>
    <xf numFmtId="0" fontId="39" fillId="17" borderId="37" xfId="0" applyFont="1" applyFill="1" applyBorder="1" applyAlignment="1">
      <alignment horizontal="center" vertical="center"/>
    </xf>
    <xf numFmtId="0" fontId="39" fillId="17" borderId="38" xfId="0" applyFont="1" applyFill="1" applyBorder="1" applyAlignment="1">
      <alignment horizontal="center" vertical="center"/>
    </xf>
    <xf numFmtId="0" fontId="39" fillId="17" borderId="36" xfId="0" applyFont="1" applyFill="1" applyBorder="1" applyAlignment="1">
      <alignment horizontal="center" vertical="center"/>
    </xf>
    <xf numFmtId="0" fontId="43" fillId="15" borderId="36" xfId="0" applyFont="1" applyFill="1" applyBorder="1" applyAlignment="1">
      <alignment horizontal="center" vertical="center"/>
    </xf>
    <xf numFmtId="0" fontId="43" fillId="15" borderId="37" xfId="0" applyFont="1" applyFill="1" applyBorder="1" applyAlignment="1">
      <alignment horizontal="center" vertical="center"/>
    </xf>
    <xf numFmtId="0" fontId="43" fillId="15" borderId="42" xfId="0" applyFont="1" applyFill="1" applyBorder="1" applyAlignment="1">
      <alignment horizontal="center" vertical="center"/>
    </xf>
    <xf numFmtId="0" fontId="39" fillId="17" borderId="33" xfId="0" applyFont="1" applyFill="1" applyBorder="1" applyAlignment="1">
      <alignment horizontal="center" vertical="center"/>
    </xf>
    <xf numFmtId="0" fontId="39" fillId="17" borderId="35" xfId="0" applyFont="1" applyFill="1" applyBorder="1" applyAlignment="1">
      <alignment horizontal="center" vertical="center"/>
    </xf>
    <xf numFmtId="0" fontId="45" fillId="12" borderId="39" xfId="0" applyFont="1" applyFill="1" applyBorder="1" applyAlignment="1">
      <alignment horizontal="left" vertical="center"/>
    </xf>
    <xf numFmtId="0" fontId="45" fillId="12" borderId="40" xfId="0" applyFont="1" applyFill="1" applyBorder="1" applyAlignment="1">
      <alignment horizontal="left" vertical="center"/>
    </xf>
    <xf numFmtId="0" fontId="45" fillId="12" borderId="41" xfId="0" applyFont="1" applyFill="1" applyBorder="1" applyAlignment="1">
      <alignment horizontal="left" vertical="center"/>
    </xf>
    <xf numFmtId="0" fontId="43" fillId="13" borderId="77" xfId="0" applyFont="1" applyFill="1" applyBorder="1" applyAlignment="1">
      <alignment horizontal="left" vertical="center"/>
    </xf>
    <xf numFmtId="0" fontId="43" fillId="13" borderId="46" xfId="0" applyFont="1" applyFill="1" applyBorder="1" applyAlignment="1">
      <alignment horizontal="left" vertical="center"/>
    </xf>
    <xf numFmtId="0" fontId="43" fillId="13" borderId="78" xfId="0" applyFont="1" applyFill="1" applyBorder="1" applyAlignment="1">
      <alignment horizontal="left" vertical="center"/>
    </xf>
    <xf numFmtId="0" fontId="43" fillId="13" borderId="45" xfId="0" applyFont="1" applyFill="1" applyBorder="1" applyAlignment="1">
      <alignment horizontal="left" vertical="center"/>
    </xf>
    <xf numFmtId="0" fontId="43" fillId="13" borderId="79" xfId="0" applyFont="1" applyFill="1" applyBorder="1" applyAlignment="1">
      <alignment horizontal="left" vertical="center"/>
    </xf>
    <xf numFmtId="0" fontId="39" fillId="17" borderId="31" xfId="0" applyFont="1" applyFill="1" applyBorder="1" applyAlignment="1">
      <alignment horizontal="left" vertical="center"/>
    </xf>
    <xf numFmtId="0" fontId="39" fillId="17" borderId="32" xfId="0" applyFont="1" applyFill="1" applyBorder="1" applyAlignment="1">
      <alignment horizontal="left" vertical="center"/>
    </xf>
    <xf numFmtId="0" fontId="39" fillId="17" borderId="56" xfId="0" applyFont="1" applyFill="1" applyBorder="1" applyAlignment="1">
      <alignment horizontal="left" vertical="center"/>
    </xf>
    <xf numFmtId="0" fontId="39" fillId="17" borderId="33" xfId="0" applyFont="1" applyFill="1" applyBorder="1" applyAlignment="1">
      <alignment horizontal="left" vertical="center"/>
    </xf>
    <xf numFmtId="0" fontId="39" fillId="17" borderId="56" xfId="0" applyFont="1" applyFill="1" applyBorder="1" applyAlignment="1">
      <alignment horizontal="center" vertical="center"/>
    </xf>
    <xf numFmtId="0" fontId="39" fillId="17" borderId="36" xfId="0" applyFont="1" applyFill="1" applyBorder="1" applyAlignment="1">
      <alignment horizontal="left" vertical="center"/>
    </xf>
    <xf numFmtId="0" fontId="39" fillId="17" borderId="42" xfId="0" applyFont="1" applyFill="1" applyBorder="1" applyAlignment="1">
      <alignment horizontal="left" vertical="center"/>
    </xf>
    <xf numFmtId="0" fontId="44" fillId="15" borderId="76" xfId="0" applyFont="1" applyFill="1" applyBorder="1" applyAlignment="1">
      <alignment horizontal="center" vertical="center"/>
    </xf>
    <xf numFmtId="0" fontId="44" fillId="15" borderId="37" xfId="0" applyFont="1" applyFill="1" applyBorder="1" applyAlignment="1">
      <alignment horizontal="center" vertical="center"/>
    </xf>
    <xf numFmtId="0" fontId="44" fillId="15" borderId="38" xfId="0" applyFont="1" applyFill="1" applyBorder="1" applyAlignment="1">
      <alignment horizontal="center" vertical="center"/>
    </xf>
    <xf numFmtId="0" fontId="39" fillId="17" borderId="37" xfId="0" applyFont="1" applyFill="1" applyBorder="1" applyAlignment="1">
      <alignment horizontal="left" vertical="center"/>
    </xf>
    <xf numFmtId="0" fontId="39" fillId="17" borderId="38" xfId="0" applyFont="1" applyFill="1" applyBorder="1" applyAlignment="1">
      <alignment horizontal="left" vertical="center"/>
    </xf>
    <xf numFmtId="0" fontId="43" fillId="13" borderId="36" xfId="0" applyFont="1" applyFill="1" applyBorder="1" applyAlignment="1">
      <alignment horizontal="center" vertical="center"/>
    </xf>
    <xf numFmtId="0" fontId="43" fillId="13" borderId="37" xfId="0" applyFont="1" applyFill="1" applyBorder="1" applyAlignment="1">
      <alignment horizontal="center" vertical="center"/>
    </xf>
    <xf numFmtId="0" fontId="43" fillId="13" borderId="42" xfId="0" applyFont="1" applyFill="1" applyBorder="1" applyAlignment="1">
      <alignment horizontal="center" vertical="center"/>
    </xf>
    <xf numFmtId="0" fontId="48" fillId="17" borderId="36" xfId="0" applyFont="1" applyFill="1" applyBorder="1" applyAlignment="1">
      <alignment horizontal="center" vertical="center"/>
    </xf>
    <xf numFmtId="0" fontId="48" fillId="17" borderId="37" xfId="0" applyFont="1" applyFill="1" applyBorder="1" applyAlignment="1">
      <alignment horizontal="center" vertical="center"/>
    </xf>
    <xf numFmtId="0" fontId="27" fillId="0" borderId="0" xfId="0" applyFont="1" applyAlignment="1">
      <alignment vertical="top" wrapText="1"/>
    </xf>
    <xf numFmtId="0" fontId="28" fillId="11" borderId="64" xfId="0" applyFont="1" applyFill="1" applyBorder="1" applyAlignment="1">
      <alignment horizontal="center" vertical="center"/>
    </xf>
    <xf numFmtId="0" fontId="28" fillId="11" borderId="65" xfId="0" applyFont="1" applyFill="1" applyBorder="1" applyAlignment="1">
      <alignment horizontal="center" vertical="center"/>
    </xf>
    <xf numFmtId="0" fontId="28" fillId="11" borderId="66" xfId="0" applyFont="1" applyFill="1" applyBorder="1" applyAlignment="1">
      <alignment horizontal="center" vertical="center"/>
    </xf>
    <xf numFmtId="0" fontId="29" fillId="11" borderId="67" xfId="0" applyFont="1" applyFill="1" applyBorder="1" applyAlignment="1">
      <alignment horizontal="center" vertical="center"/>
    </xf>
    <xf numFmtId="0" fontId="29" fillId="11" borderId="68" xfId="0" applyFont="1" applyFill="1" applyBorder="1" applyAlignment="1">
      <alignment horizontal="center" vertical="center"/>
    </xf>
    <xf numFmtId="0" fontId="29" fillId="11" borderId="69" xfId="0" applyFont="1" applyFill="1" applyBorder="1" applyAlignment="1">
      <alignment horizontal="center" vertical="center"/>
    </xf>
    <xf numFmtId="0" fontId="31" fillId="12" borderId="27" xfId="0" applyFont="1" applyFill="1" applyBorder="1" applyAlignment="1">
      <alignment horizontal="left" vertical="center"/>
    </xf>
    <xf numFmtId="0" fontId="31" fillId="12" borderId="28" xfId="0" applyFont="1" applyFill="1" applyBorder="1" applyAlignment="1">
      <alignment horizontal="left" vertical="center"/>
    </xf>
    <xf numFmtId="0" fontId="31" fillId="12" borderId="70" xfId="0" applyFont="1" applyFill="1" applyBorder="1" applyAlignment="1">
      <alignment horizontal="left" vertical="center"/>
    </xf>
    <xf numFmtId="0" fontId="43" fillId="13" borderId="71" xfId="0" applyFont="1" applyFill="1" applyBorder="1" applyAlignment="1">
      <alignment horizontal="left" vertical="center"/>
    </xf>
    <xf numFmtId="0" fontId="43" fillId="13" borderId="72" xfId="0" applyFont="1" applyFill="1" applyBorder="1" applyAlignment="1">
      <alignment horizontal="left" vertical="center"/>
    </xf>
    <xf numFmtId="0" fontId="43" fillId="13" borderId="73" xfId="0" applyFont="1" applyFill="1" applyBorder="1" applyAlignment="1">
      <alignment horizontal="left" vertical="center"/>
    </xf>
    <xf numFmtId="0" fontId="43" fillId="13" borderId="74" xfId="0" applyFont="1" applyFill="1" applyBorder="1" applyAlignment="1">
      <alignment horizontal="left" vertical="center"/>
    </xf>
    <xf numFmtId="0" fontId="43" fillId="13" borderId="75" xfId="0" applyFont="1" applyFill="1" applyBorder="1" applyAlignment="1">
      <alignment horizontal="left" vertical="center"/>
    </xf>
    <xf numFmtId="0" fontId="25" fillId="0" borderId="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6" fillId="0" borderId="26" xfId="0" applyFont="1" applyBorder="1"/>
    <xf numFmtId="0" fontId="39" fillId="16" borderId="98" xfId="0" applyFont="1" applyFill="1" applyBorder="1" applyAlignment="1">
      <alignment vertical="center"/>
    </xf>
    <xf numFmtId="0" fontId="39" fillId="16" borderId="99" xfId="0" applyFont="1" applyFill="1" applyBorder="1" applyAlignment="1">
      <alignment vertical="center"/>
    </xf>
    <xf numFmtId="0" fontId="39" fillId="16" borderId="100" xfId="0" applyFont="1" applyFill="1" applyBorder="1" applyAlignment="1">
      <alignment vertical="center"/>
    </xf>
  </cellXfs>
  <cellStyles count="5">
    <cellStyle name="Moeda 2" xfId="4" xr:uid="{2F615351-BA78-4A33-8359-E44B00697F7C}"/>
    <cellStyle name="Normal" xfId="0" builtinId="0"/>
    <cellStyle name="Normal 4" xfId="1" xr:uid="{C6B076A4-426B-438B-852E-19718D352141}"/>
    <cellStyle name="Porcentagem" xfId="3" builtinId="5"/>
    <cellStyle name="Vírgula" xfId="2" builtinId="3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#,##0.0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#\ ?/4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>
          <fgColor indexed="64"/>
          <bgColor theme="0" tint="-4.9989318521683403E-2"/>
        </patternFill>
      </fill>
    </dxf>
    <dxf>
      <fill>
        <patternFill>
          <fgColor indexed="64"/>
          <bgColor theme="0" tint="-4.9989318521683403E-2"/>
        </patternFill>
      </fill>
    </dxf>
    <dxf>
      <fill>
        <patternFill>
          <fgColor indexed="64"/>
          <bgColor theme="0" tint="-4.9989318521683403E-2"/>
        </patternFill>
      </fill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</xdr:row>
      <xdr:rowOff>38100</xdr:rowOff>
    </xdr:from>
    <xdr:to>
      <xdr:col>2</xdr:col>
      <xdr:colOff>1314744</xdr:colOff>
      <xdr:row>2</xdr:row>
      <xdr:rowOff>401955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F13A5F-C11C-47FD-9945-8F9A46C07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19100"/>
          <a:ext cx="1249078" cy="36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6B201C-5746-43D7-9758-D3FE6362E9AF}" name="Tabela2" displayName="Tabela2" ref="A1:L51" totalsRowShown="0" headerRowDxfId="23" dataDxfId="22">
  <autoFilter ref="A1:L51" xr:uid="{BD6B201C-5746-43D7-9758-D3FE6362E9AF}"/>
  <tableColumns count="12">
    <tableColumn id="1" xr3:uid="{4DC9159F-BB28-4BE2-8713-75BAD3A035A9}" name="Ordem" dataDxfId="21"/>
    <tableColumn id="3" xr3:uid="{B93BC22A-FCBE-4C6B-AC40-F0A1666B5710}" name="Motorista" dataDxfId="20"/>
    <tableColumn id="11" xr3:uid="{BECD135F-C290-400D-997F-FEBF5BE142BC}" name="CPF" dataDxfId="19"/>
    <tableColumn id="4" xr3:uid="{42C59E92-7F44-466D-87D7-8571A8AFE092}" name="Placa Cavalo" dataDxfId="18"/>
    <tableColumn id="5" xr3:uid="{F8ED302D-B990-41AB-A7D3-844ABA414012}" name="Placa Carreta" dataDxfId="17"/>
    <tableColumn id="6" xr3:uid="{1AF1DD34-5F1E-4DE7-BED9-9DF0F0CCE8AB}" name="Contato" dataDxfId="16"/>
    <tableColumn id="8" xr3:uid="{B1089ACE-4DA0-4ADB-9DA6-1DA11462F21D}" name="Tipo de veículo" dataDxfId="15"/>
    <tableColumn id="9" xr3:uid="{918586C3-9D64-43B2-BF1A-F46516D0C257}" name="Qntdd Pal." dataDxfId="14"/>
    <tableColumn id="10" xr3:uid="{0ADC4218-409A-469B-B300-FBE6E040DF22}" name="Cubagem" dataDxfId="13" dataCellStyle="Vírgula"/>
    <tableColumn id="7" xr3:uid="{29773154-E028-473C-BDA5-6238AA1770CE}" name="Capacidade" dataDxfId="12"/>
    <tableColumn id="12" xr3:uid="{91790C96-797F-42BD-8D66-773E1E7F6799}" name="Buonny" dataDxfId="11"/>
    <tableColumn id="2" xr3:uid="{00D34E35-226B-47CE-B856-730702825FDF}" name="Valid. Buonny" dataDxfId="10">
      <calculatedColumnFormula>IF(K2&gt;$N$2,"ADEQUADO AO RISCO","DIVERGENTE")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E541-0CDA-45DC-BC08-EAF4D32AC6C3}">
  <sheetPr codeName="Planilha2">
    <pageSetUpPr fitToPage="1"/>
  </sheetPr>
  <dimension ref="A1:O110"/>
  <sheetViews>
    <sheetView showGridLines="0" zoomScale="55" zoomScaleNormal="55" workbookViewId="0">
      <selection activeCell="M5" sqref="M5"/>
    </sheetView>
  </sheetViews>
  <sheetFormatPr defaultColWidth="0" defaultRowHeight="14.4" x14ac:dyDescent="0.3"/>
  <cols>
    <col min="1" max="2" width="2.88671875" customWidth="1"/>
    <col min="3" max="3" width="26.5546875" customWidth="1"/>
    <col min="4" max="4" width="20.44140625" customWidth="1"/>
    <col min="5" max="5" width="7.88671875" customWidth="1"/>
    <col min="6" max="6" width="28.88671875" customWidth="1"/>
    <col min="7" max="7" width="27" customWidth="1"/>
    <col min="8" max="8" width="92.21875" customWidth="1"/>
    <col min="9" max="9" width="33.109375" customWidth="1"/>
    <col min="10" max="10" width="67.77734375" bestFit="1" customWidth="1"/>
    <col min="11" max="11" width="19.5546875" customWidth="1"/>
    <col min="12" max="12" width="19.109375" customWidth="1"/>
    <col min="13" max="13" width="15" customWidth="1"/>
    <col min="14" max="14" width="2.6640625" customWidth="1"/>
    <col min="15" max="15" width="2.88671875" customWidth="1"/>
    <col min="16" max="16384" width="8.88671875" hidden="1"/>
  </cols>
  <sheetData>
    <row r="1" spans="2:14" ht="15" thickBot="1" x14ac:dyDescent="0.35"/>
    <row r="2" spans="2:14" ht="15" thickBot="1" x14ac:dyDescent="0.35">
      <c r="B2" s="9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8"/>
    </row>
    <row r="3" spans="2:14" ht="33" customHeight="1" thickBot="1" x14ac:dyDescent="0.35">
      <c r="B3" s="5"/>
      <c r="C3" s="191" t="s">
        <v>4</v>
      </c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5"/>
    </row>
    <row r="4" spans="2:14" ht="15" thickBot="1" x14ac:dyDescent="0.35">
      <c r="B4" s="5"/>
      <c r="N4" s="5"/>
    </row>
    <row r="5" spans="2:14" ht="27" customHeight="1" thickBot="1" x14ac:dyDescent="0.35">
      <c r="B5" s="5"/>
      <c r="C5" s="121" t="s">
        <v>10</v>
      </c>
      <c r="D5" s="192" t="str">
        <f>IFERROR(UPPER(VLOOKUP(M5,base!A:I,2,0)),"")</f>
        <v>PAULO ROBERTO SANTANA DA SILVA</v>
      </c>
      <c r="E5" s="193"/>
      <c r="F5" s="193"/>
      <c r="G5" s="194"/>
      <c r="H5" s="89" t="s">
        <v>28</v>
      </c>
      <c r="I5" s="195" t="str">
        <f>IFERROR(UPPER(VLOOKUP(M5,base!A:I,3,0)),"")</f>
        <v>036.643.915-43</v>
      </c>
      <c r="J5" s="196"/>
      <c r="K5" s="197"/>
      <c r="L5" s="122" t="s">
        <v>11</v>
      </c>
      <c r="M5" s="89">
        <v>138</v>
      </c>
      <c r="N5" s="10"/>
    </row>
    <row r="6" spans="2:14" ht="26.4" thickBot="1" x14ac:dyDescent="0.55000000000000004">
      <c r="B6" s="5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 t="s">
        <v>872</v>
      </c>
      <c r="N6" s="5"/>
    </row>
    <row r="7" spans="2:14" ht="27" customHeight="1" thickBot="1" x14ac:dyDescent="0.35">
      <c r="B7" s="5"/>
      <c r="C7" s="121" t="s">
        <v>7</v>
      </c>
      <c r="D7" s="192" t="str">
        <f>IFERROR(UPPER(VLOOKUP(M5,base!A:I,4,0)),"")</f>
        <v>PNU-6E63</v>
      </c>
      <c r="E7" s="194"/>
      <c r="F7" s="124" t="s">
        <v>8</v>
      </c>
      <c r="G7" s="192" t="str">
        <f>IFERROR(UPPER(VLOOKUP(M5,base!A:I,5,0)),"")</f>
        <v>GUI TRANSPORTE</v>
      </c>
      <c r="H7" s="194"/>
      <c r="I7" s="124" t="s">
        <v>9</v>
      </c>
      <c r="J7" s="192" t="str">
        <f>IFERROR(UPPER(VLOOKUP(M5,base!A:I,7,0)),"")</f>
        <v>0,75</v>
      </c>
      <c r="K7" s="194"/>
      <c r="L7" s="124" t="s">
        <v>13</v>
      </c>
      <c r="M7" s="88" t="str">
        <f>IFERROR(UPPER(VLOOKUP(M5,base!A:I,9,0)),"")</f>
        <v>30M³</v>
      </c>
      <c r="N7" s="5"/>
    </row>
    <row r="8" spans="2:14" ht="26.4" thickBot="1" x14ac:dyDescent="0.55000000000000004">
      <c r="B8" s="5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5"/>
    </row>
    <row r="9" spans="2:14" ht="27" customHeight="1" thickBot="1" x14ac:dyDescent="0.35">
      <c r="B9" s="5"/>
      <c r="C9" s="121" t="s">
        <v>601</v>
      </c>
      <c r="D9" s="198" t="str">
        <f>IFERROR(UPPER(VLOOKUP(M5,base!A:I,6,0)),"")</f>
        <v>75 98371-8065</v>
      </c>
      <c r="E9" s="199"/>
      <c r="F9" s="199"/>
      <c r="G9" s="199"/>
      <c r="H9" s="199"/>
      <c r="I9" s="200"/>
      <c r="J9" s="192" t="str">
        <f>IFERROR(UPPER(VLOOKUP(M5,base!A:I,8,0)),"")</f>
        <v>10 PALETES</v>
      </c>
      <c r="K9" s="193"/>
      <c r="L9" s="193"/>
      <c r="M9" s="193"/>
      <c r="N9" s="5"/>
    </row>
    <row r="10" spans="2:14" ht="26.4" thickBot="1" x14ac:dyDescent="0.55000000000000004">
      <c r="B10" s="5"/>
      <c r="C10" s="123"/>
      <c r="D10" s="123"/>
      <c r="E10" s="123"/>
      <c r="F10" s="123"/>
      <c r="G10" s="123"/>
      <c r="H10" s="123"/>
      <c r="I10" s="125"/>
      <c r="J10" s="123"/>
      <c r="K10" s="123"/>
      <c r="L10" s="123"/>
      <c r="M10" s="123"/>
      <c r="N10" s="5"/>
    </row>
    <row r="11" spans="2:14" ht="50.4" customHeight="1" thickBot="1" x14ac:dyDescent="0.55000000000000004">
      <c r="B11" s="5"/>
      <c r="C11" s="121" t="s">
        <v>18</v>
      </c>
      <c r="D11" s="188"/>
      <c r="E11" s="189"/>
      <c r="F11" s="190"/>
      <c r="G11" s="126" t="s">
        <v>197</v>
      </c>
      <c r="H11" s="90"/>
      <c r="I11" s="124" t="s">
        <v>14</v>
      </c>
      <c r="J11" s="188"/>
      <c r="K11" s="189"/>
      <c r="L11" s="189"/>
      <c r="M11" s="190"/>
      <c r="N11" s="5"/>
    </row>
    <row r="12" spans="2:14" ht="26.4" thickBot="1" x14ac:dyDescent="0.55000000000000004">
      <c r="B12" s="5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5"/>
    </row>
    <row r="13" spans="2:14" ht="48" customHeight="1" thickBot="1" x14ac:dyDescent="0.55000000000000004">
      <c r="B13" s="5"/>
      <c r="C13" s="121" t="s">
        <v>20</v>
      </c>
      <c r="D13" s="209"/>
      <c r="E13" s="193"/>
      <c r="F13" s="194"/>
      <c r="G13" s="127" t="s">
        <v>15</v>
      </c>
      <c r="H13" s="188"/>
      <c r="I13" s="190"/>
      <c r="J13" s="127" t="s">
        <v>16</v>
      </c>
      <c r="K13" s="188"/>
      <c r="L13" s="189"/>
      <c r="M13" s="189"/>
      <c r="N13" s="5"/>
    </row>
    <row r="14" spans="2:14" ht="26.4" thickBot="1" x14ac:dyDescent="0.55000000000000004">
      <c r="B14" s="5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5"/>
    </row>
    <row r="15" spans="2:14" ht="51.6" customHeight="1" thickBot="1" x14ac:dyDescent="0.55000000000000004">
      <c r="B15" s="5"/>
      <c r="C15" s="121" t="s">
        <v>21</v>
      </c>
      <c r="D15" s="188"/>
      <c r="E15" s="189"/>
      <c r="F15" s="190"/>
      <c r="G15" s="127" t="s">
        <v>19</v>
      </c>
      <c r="H15" s="90"/>
      <c r="I15" s="124" t="s">
        <v>14</v>
      </c>
      <c r="J15" s="188"/>
      <c r="K15" s="189"/>
      <c r="L15" s="189"/>
      <c r="M15" s="190"/>
      <c r="N15" s="5"/>
    </row>
    <row r="16" spans="2:14" ht="26.4" thickBot="1" x14ac:dyDescent="0.55000000000000004">
      <c r="B16" s="5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5"/>
    </row>
    <row r="17" spans="2:14" ht="59.4" customHeight="1" thickBot="1" x14ac:dyDescent="0.55000000000000004">
      <c r="B17" s="5"/>
      <c r="C17" s="121" t="s">
        <v>22</v>
      </c>
      <c r="D17" s="188"/>
      <c r="E17" s="189"/>
      <c r="F17" s="190"/>
      <c r="G17" s="127" t="s">
        <v>15</v>
      </c>
      <c r="H17" s="188"/>
      <c r="I17" s="190"/>
      <c r="J17" s="127" t="s">
        <v>16</v>
      </c>
      <c r="K17" s="188"/>
      <c r="L17" s="189"/>
      <c r="M17" s="189"/>
      <c r="N17" s="5"/>
    </row>
    <row r="18" spans="2:14" ht="26.4" thickBot="1" x14ac:dyDescent="0.55000000000000004">
      <c r="B18" s="5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5"/>
    </row>
    <row r="19" spans="2:14" ht="50.4" customHeight="1" thickBot="1" x14ac:dyDescent="0.35">
      <c r="B19" s="5"/>
      <c r="C19" s="2" t="s">
        <v>835</v>
      </c>
      <c r="D19" s="1"/>
      <c r="E19" s="207" t="s">
        <v>12</v>
      </c>
      <c r="F19" s="208"/>
      <c r="G19" s="192" t="s">
        <v>836</v>
      </c>
      <c r="H19" s="193"/>
      <c r="I19" s="193"/>
      <c r="J19" s="128" t="s">
        <v>838</v>
      </c>
      <c r="K19" s="204" t="s">
        <v>1040</v>
      </c>
      <c r="L19" s="205"/>
      <c r="M19" s="206"/>
      <c r="N19" s="10"/>
    </row>
    <row r="20" spans="2:14" ht="14.4" customHeight="1" x14ac:dyDescent="0.3">
      <c r="B20" s="5"/>
      <c r="K20" s="94"/>
      <c r="L20" s="94"/>
      <c r="M20" s="95"/>
      <c r="N20" s="5"/>
    </row>
    <row r="21" spans="2:14" ht="21" x14ac:dyDescent="0.4">
      <c r="B21" s="62"/>
      <c r="C21" s="91" t="s">
        <v>572</v>
      </c>
      <c r="D21" s="201" t="s">
        <v>262</v>
      </c>
      <c r="E21" s="201"/>
      <c r="F21" s="91" t="s">
        <v>563</v>
      </c>
      <c r="G21" s="202" t="s">
        <v>949</v>
      </c>
      <c r="H21" s="203"/>
      <c r="I21" s="91" t="s">
        <v>855</v>
      </c>
      <c r="J21" s="91" t="s">
        <v>969</v>
      </c>
      <c r="K21" s="92" t="s">
        <v>565</v>
      </c>
      <c r="L21" s="93" t="s">
        <v>564</v>
      </c>
      <c r="M21" s="91" t="s">
        <v>234</v>
      </c>
      <c r="N21" s="10"/>
    </row>
    <row r="22" spans="2:14" s="76" customFormat="1" ht="31.8" customHeight="1" x14ac:dyDescent="0.7">
      <c r="B22" s="74"/>
      <c r="C22" s="96" t="s">
        <v>1044</v>
      </c>
      <c r="D22" s="186"/>
      <c r="E22" s="187"/>
      <c r="F22" s="130">
        <v>12634</v>
      </c>
      <c r="G22" s="178"/>
      <c r="H22" s="179"/>
      <c r="I22" s="117" t="s">
        <v>1043</v>
      </c>
      <c r="J22" s="109" t="s">
        <v>1040</v>
      </c>
      <c r="K22" s="96">
        <v>2978</v>
      </c>
      <c r="L22" s="118">
        <v>7.5</v>
      </c>
      <c r="M22" s="96">
        <v>300</v>
      </c>
      <c r="N22" s="75"/>
    </row>
    <row r="23" spans="2:14" s="76" customFormat="1" ht="31.8" customHeight="1" x14ac:dyDescent="0.7">
      <c r="B23" s="74"/>
      <c r="C23" s="96" t="s">
        <v>1044</v>
      </c>
      <c r="D23" s="186"/>
      <c r="E23" s="187"/>
      <c r="F23" s="130">
        <v>12630</v>
      </c>
      <c r="G23" s="178"/>
      <c r="H23" s="179"/>
      <c r="I23" s="117">
        <v>46232</v>
      </c>
      <c r="J23" s="109" t="s">
        <v>1040</v>
      </c>
      <c r="K23" s="96">
        <v>1039.5</v>
      </c>
      <c r="L23" s="118">
        <v>3.4649999999999999</v>
      </c>
      <c r="M23" s="96">
        <v>99</v>
      </c>
      <c r="N23" s="75"/>
    </row>
    <row r="24" spans="2:14" s="76" customFormat="1" ht="31.8" customHeight="1" x14ac:dyDescent="0.7">
      <c r="B24" s="74"/>
      <c r="C24" s="96" t="s">
        <v>1044</v>
      </c>
      <c r="D24" s="186"/>
      <c r="E24" s="187"/>
      <c r="F24" s="130" t="s">
        <v>1046</v>
      </c>
      <c r="G24" s="178" t="s">
        <v>1051</v>
      </c>
      <c r="H24" s="179"/>
      <c r="I24" s="117">
        <v>46233</v>
      </c>
      <c r="J24" s="109" t="s">
        <v>1040</v>
      </c>
      <c r="K24" s="96">
        <v>34.08</v>
      </c>
      <c r="L24" s="118">
        <v>0.11359999999999999</v>
      </c>
      <c r="M24" s="96">
        <v>24</v>
      </c>
      <c r="N24" s="75"/>
    </row>
    <row r="25" spans="2:14" s="76" customFormat="1" ht="31.8" customHeight="1" x14ac:dyDescent="0.7">
      <c r="B25" s="74"/>
      <c r="C25" s="96" t="s">
        <v>1044</v>
      </c>
      <c r="D25" s="186"/>
      <c r="E25" s="187"/>
      <c r="F25" s="130" t="s">
        <v>1047</v>
      </c>
      <c r="G25" s="178" t="s">
        <v>1051</v>
      </c>
      <c r="H25" s="179"/>
      <c r="I25" s="117">
        <v>46233</v>
      </c>
      <c r="J25" s="109" t="s">
        <v>1040</v>
      </c>
      <c r="K25" s="96">
        <v>573.5</v>
      </c>
      <c r="L25" s="118">
        <v>1.9116666666666666</v>
      </c>
      <c r="M25" s="96">
        <v>81</v>
      </c>
      <c r="N25" s="75"/>
    </row>
    <row r="26" spans="2:14" s="76" customFormat="1" ht="31.8" customHeight="1" x14ac:dyDescent="0.7">
      <c r="B26" s="74"/>
      <c r="C26" s="96" t="s">
        <v>1044</v>
      </c>
      <c r="D26" s="186"/>
      <c r="E26" s="187"/>
      <c r="F26" s="130" t="s">
        <v>1048</v>
      </c>
      <c r="G26" s="178" t="s">
        <v>1051</v>
      </c>
      <c r="H26" s="179"/>
      <c r="I26" s="117">
        <v>46233</v>
      </c>
      <c r="J26" s="109" t="s">
        <v>1040</v>
      </c>
      <c r="K26" s="96">
        <v>39.4</v>
      </c>
      <c r="L26" s="118">
        <v>0.13133333333333333</v>
      </c>
      <c r="M26" s="96">
        <v>5</v>
      </c>
      <c r="N26" s="75"/>
    </row>
    <row r="27" spans="2:14" s="76" customFormat="1" ht="31.8" customHeight="1" x14ac:dyDescent="0.7">
      <c r="B27" s="74"/>
      <c r="C27" s="96" t="s">
        <v>1044</v>
      </c>
      <c r="D27" s="186"/>
      <c r="E27" s="187"/>
      <c r="F27" s="130" t="s">
        <v>1049</v>
      </c>
      <c r="G27" s="178" t="s">
        <v>1051</v>
      </c>
      <c r="H27" s="179"/>
      <c r="I27" s="117">
        <v>46234</v>
      </c>
      <c r="J27" s="109" t="s">
        <v>1040</v>
      </c>
      <c r="K27" s="96">
        <v>2021.8</v>
      </c>
      <c r="L27" s="96">
        <v>6.7393333333333336</v>
      </c>
      <c r="M27" s="96">
        <v>437</v>
      </c>
      <c r="N27" s="75"/>
    </row>
    <row r="28" spans="2:14" s="76" customFormat="1" ht="31.8" customHeight="1" x14ac:dyDescent="0.7">
      <c r="B28" s="74"/>
      <c r="C28" s="96" t="s">
        <v>1044</v>
      </c>
      <c r="D28" s="186"/>
      <c r="E28" s="187"/>
      <c r="F28" s="130">
        <v>946581</v>
      </c>
      <c r="G28" s="178"/>
      <c r="H28" s="179"/>
      <c r="I28" s="117">
        <v>46232</v>
      </c>
      <c r="J28" s="109" t="s">
        <v>1040</v>
      </c>
      <c r="K28" s="96">
        <v>93</v>
      </c>
      <c r="L28" s="118">
        <v>0.47739999999999999</v>
      </c>
      <c r="M28" s="96">
        <v>2</v>
      </c>
      <c r="N28" s="75"/>
    </row>
    <row r="29" spans="2:14" s="76" customFormat="1" ht="31.8" customHeight="1" x14ac:dyDescent="0.7">
      <c r="B29" s="74"/>
      <c r="C29" s="96" t="s">
        <v>1044</v>
      </c>
      <c r="D29" s="186"/>
      <c r="E29" s="187"/>
      <c r="F29" s="130">
        <v>946627</v>
      </c>
      <c r="G29" s="178"/>
      <c r="H29" s="179"/>
      <c r="I29" s="117">
        <v>46233</v>
      </c>
      <c r="J29" s="109" t="s">
        <v>1040</v>
      </c>
      <c r="K29" s="96">
        <v>49.85</v>
      </c>
      <c r="L29" s="96">
        <v>0.224</v>
      </c>
      <c r="M29" s="96">
        <v>1</v>
      </c>
      <c r="N29" s="75"/>
    </row>
    <row r="30" spans="2:14" s="76" customFormat="1" ht="31.8" customHeight="1" x14ac:dyDescent="0.7">
      <c r="B30" s="74"/>
      <c r="C30" s="96" t="s">
        <v>1044</v>
      </c>
      <c r="D30" s="186"/>
      <c r="E30" s="187"/>
      <c r="F30" s="130">
        <v>946804</v>
      </c>
      <c r="G30" s="178"/>
      <c r="H30" s="179"/>
      <c r="I30" s="117">
        <v>46232</v>
      </c>
      <c r="J30" s="109" t="s">
        <v>1040</v>
      </c>
      <c r="K30" s="96">
        <v>99.7</v>
      </c>
      <c r="L30" s="96">
        <v>0.44790000000000002</v>
      </c>
      <c r="M30" s="96">
        <v>2</v>
      </c>
      <c r="N30" s="75"/>
    </row>
    <row r="31" spans="2:14" s="76" customFormat="1" ht="31.8" customHeight="1" x14ac:dyDescent="0.7">
      <c r="B31" s="74"/>
      <c r="C31" s="96" t="s">
        <v>1044</v>
      </c>
      <c r="D31" s="186"/>
      <c r="E31" s="187"/>
      <c r="F31" s="130">
        <v>947113</v>
      </c>
      <c r="G31" s="178"/>
      <c r="H31" s="179"/>
      <c r="I31" s="117">
        <v>46237</v>
      </c>
      <c r="J31" s="109" t="s">
        <v>1052</v>
      </c>
      <c r="K31" s="96">
        <v>49.85</v>
      </c>
      <c r="L31" s="96">
        <v>0.224</v>
      </c>
      <c r="M31" s="96">
        <v>1</v>
      </c>
      <c r="N31" s="75"/>
    </row>
    <row r="32" spans="2:14" s="76" customFormat="1" ht="31.8" customHeight="1" x14ac:dyDescent="0.7">
      <c r="B32" s="74"/>
      <c r="C32" s="96" t="s">
        <v>1044</v>
      </c>
      <c r="D32" s="186"/>
      <c r="E32" s="187"/>
      <c r="F32" s="130">
        <v>947443</v>
      </c>
      <c r="G32" s="178"/>
      <c r="H32" s="179"/>
      <c r="I32" s="117">
        <v>46238</v>
      </c>
      <c r="J32" s="109" t="s">
        <v>1052</v>
      </c>
      <c r="K32" s="96">
        <v>46.5</v>
      </c>
      <c r="L32" s="118">
        <v>0.2387</v>
      </c>
      <c r="M32" s="96">
        <v>1</v>
      </c>
      <c r="N32" s="75"/>
    </row>
    <row r="33" spans="2:14" s="76" customFormat="1" ht="31.8" customHeight="1" x14ac:dyDescent="0.7">
      <c r="B33" s="74"/>
      <c r="C33" s="96" t="s">
        <v>1044</v>
      </c>
      <c r="D33" s="186"/>
      <c r="E33" s="187"/>
      <c r="F33" s="130">
        <v>947614</v>
      </c>
      <c r="G33" s="178"/>
      <c r="H33" s="179"/>
      <c r="I33" s="117">
        <v>46233</v>
      </c>
      <c r="J33" s="109" t="s">
        <v>1040</v>
      </c>
      <c r="K33" s="96">
        <v>199.4</v>
      </c>
      <c r="L33" s="114">
        <v>0.89590000000000003</v>
      </c>
      <c r="M33" s="96">
        <v>4</v>
      </c>
      <c r="N33" s="75"/>
    </row>
    <row r="34" spans="2:14" s="76" customFormat="1" ht="31.8" customHeight="1" x14ac:dyDescent="0.7">
      <c r="B34" s="74"/>
      <c r="C34" s="96" t="s">
        <v>1044</v>
      </c>
      <c r="D34" s="186"/>
      <c r="E34" s="187"/>
      <c r="F34" s="130">
        <v>1148659</v>
      </c>
      <c r="G34" s="178"/>
      <c r="H34" s="179"/>
      <c r="I34" s="117">
        <v>46232</v>
      </c>
      <c r="J34" s="109" t="s">
        <v>1040</v>
      </c>
      <c r="K34" s="96">
        <v>61.04</v>
      </c>
      <c r="L34" s="114">
        <v>0.63700000000000001</v>
      </c>
      <c r="M34" s="96">
        <v>4</v>
      </c>
      <c r="N34" s="75"/>
    </row>
    <row r="35" spans="2:14" s="76" customFormat="1" ht="31.8" customHeight="1" x14ac:dyDescent="0.7">
      <c r="B35" s="74"/>
      <c r="C35" s="96" t="s">
        <v>1044</v>
      </c>
      <c r="D35" s="186"/>
      <c r="E35" s="187"/>
      <c r="F35" s="130">
        <v>947913</v>
      </c>
      <c r="G35" s="178"/>
      <c r="H35" s="179"/>
      <c r="I35" s="117">
        <v>46233</v>
      </c>
      <c r="J35" s="109" t="s">
        <v>1040</v>
      </c>
      <c r="K35" s="96">
        <v>46.5</v>
      </c>
      <c r="L35" s="114">
        <v>0.2387</v>
      </c>
      <c r="M35" s="96">
        <v>1</v>
      </c>
      <c r="N35" s="75"/>
    </row>
    <row r="36" spans="2:14" s="76" customFormat="1" ht="31.8" customHeight="1" x14ac:dyDescent="0.7">
      <c r="B36" s="74"/>
      <c r="C36" s="96" t="s">
        <v>1044</v>
      </c>
      <c r="D36" s="186"/>
      <c r="E36" s="187"/>
      <c r="F36" s="130">
        <v>28015</v>
      </c>
      <c r="G36" s="178"/>
      <c r="H36" s="179"/>
      <c r="I36" s="117">
        <v>46233</v>
      </c>
      <c r="J36" s="109" t="s">
        <v>1040</v>
      </c>
      <c r="K36" s="96">
        <v>482</v>
      </c>
      <c r="L36" s="114">
        <v>0.75680000000000003</v>
      </c>
      <c r="M36" s="96">
        <v>1</v>
      </c>
      <c r="N36" s="75"/>
    </row>
    <row r="37" spans="2:14" s="76" customFormat="1" ht="31.8" customHeight="1" x14ac:dyDescent="0.7">
      <c r="B37" s="74"/>
      <c r="C37" s="96" t="s">
        <v>1044</v>
      </c>
      <c r="D37" s="186"/>
      <c r="E37" s="187"/>
      <c r="F37" s="130">
        <v>43240</v>
      </c>
      <c r="G37" s="178"/>
      <c r="H37" s="179"/>
      <c r="I37" s="117">
        <v>46232</v>
      </c>
      <c r="J37" s="109" t="s">
        <v>1040</v>
      </c>
      <c r="K37" s="96">
        <v>108.6</v>
      </c>
      <c r="L37" s="114">
        <v>0.28389999999999999</v>
      </c>
      <c r="M37" s="96">
        <v>3</v>
      </c>
      <c r="N37" s="75"/>
    </row>
    <row r="38" spans="2:14" s="76" customFormat="1" ht="31.8" customHeight="1" x14ac:dyDescent="0.7">
      <c r="B38" s="74"/>
      <c r="C38" s="96" t="s">
        <v>1044</v>
      </c>
      <c r="D38" s="186"/>
      <c r="E38" s="187"/>
      <c r="F38" s="130">
        <v>23185</v>
      </c>
      <c r="G38" s="178"/>
      <c r="H38" s="179"/>
      <c r="I38" s="117">
        <v>46232</v>
      </c>
      <c r="J38" s="109" t="s">
        <v>1040</v>
      </c>
      <c r="K38" s="96">
        <v>95</v>
      </c>
      <c r="L38" s="114">
        <v>0.29110000000000003</v>
      </c>
      <c r="M38" s="96">
        <v>4</v>
      </c>
      <c r="N38" s="75"/>
    </row>
    <row r="39" spans="2:14" s="76" customFormat="1" ht="31.8" customHeight="1" x14ac:dyDescent="0.7">
      <c r="B39" s="74"/>
      <c r="C39" s="96" t="s">
        <v>1044</v>
      </c>
      <c r="D39" s="186"/>
      <c r="E39" s="187"/>
      <c r="F39" s="130">
        <v>948320</v>
      </c>
      <c r="G39" s="178" t="s">
        <v>1045</v>
      </c>
      <c r="H39" s="179"/>
      <c r="I39" s="117">
        <v>46234</v>
      </c>
      <c r="J39" s="109" t="s">
        <v>1040</v>
      </c>
      <c r="K39" s="96">
        <v>299.10000000000002</v>
      </c>
      <c r="L39" s="114">
        <v>1.3438000000000001</v>
      </c>
      <c r="M39" s="96">
        <v>6</v>
      </c>
      <c r="N39" s="75"/>
    </row>
    <row r="40" spans="2:14" s="76" customFormat="1" ht="31.8" customHeight="1" x14ac:dyDescent="0.7">
      <c r="B40" s="74"/>
      <c r="C40" s="96" t="s">
        <v>1044</v>
      </c>
      <c r="D40" s="186"/>
      <c r="E40" s="187"/>
      <c r="F40" s="130">
        <v>948664</v>
      </c>
      <c r="G40" s="178" t="s">
        <v>1045</v>
      </c>
      <c r="H40" s="179"/>
      <c r="I40" s="117">
        <v>46234</v>
      </c>
      <c r="J40" s="109" t="s">
        <v>1040</v>
      </c>
      <c r="K40" s="96">
        <v>59.25</v>
      </c>
      <c r="L40" s="114">
        <v>0.2414</v>
      </c>
      <c r="M40" s="96">
        <v>1</v>
      </c>
      <c r="N40" s="75"/>
    </row>
    <row r="41" spans="2:14" s="76" customFormat="1" ht="31.8" customHeight="1" x14ac:dyDescent="0.7">
      <c r="B41" s="74"/>
      <c r="C41" s="96" t="s">
        <v>1044</v>
      </c>
      <c r="D41" s="186"/>
      <c r="E41" s="187"/>
      <c r="F41" s="130">
        <v>949167</v>
      </c>
      <c r="G41" s="178" t="s">
        <v>1045</v>
      </c>
      <c r="H41" s="179"/>
      <c r="I41" s="113">
        <v>46234</v>
      </c>
      <c r="J41" s="109" t="s">
        <v>1040</v>
      </c>
      <c r="K41" s="96">
        <v>46.5</v>
      </c>
      <c r="L41" s="114">
        <v>0.2387</v>
      </c>
      <c r="M41" s="96">
        <v>1</v>
      </c>
      <c r="N41" s="75"/>
    </row>
    <row r="42" spans="2:14" s="76" customFormat="1" ht="31.8" customHeight="1" x14ac:dyDescent="0.7">
      <c r="B42" s="74"/>
      <c r="C42" s="96" t="s">
        <v>1044</v>
      </c>
      <c r="D42" s="186"/>
      <c r="E42" s="187"/>
      <c r="F42" s="130">
        <v>949327</v>
      </c>
      <c r="G42" s="178" t="s">
        <v>1045</v>
      </c>
      <c r="H42" s="179"/>
      <c r="I42" s="113">
        <v>46234</v>
      </c>
      <c r="J42" s="109" t="s">
        <v>1040</v>
      </c>
      <c r="K42" s="96">
        <v>46.5</v>
      </c>
      <c r="L42" s="114">
        <v>0.2387</v>
      </c>
      <c r="M42" s="96">
        <v>1</v>
      </c>
      <c r="N42" s="75"/>
    </row>
    <row r="43" spans="2:14" s="76" customFormat="1" ht="31.8" customHeight="1" x14ac:dyDescent="0.7">
      <c r="B43" s="74"/>
      <c r="C43" s="96" t="s">
        <v>1044</v>
      </c>
      <c r="D43" s="186"/>
      <c r="E43" s="187"/>
      <c r="F43" s="130" t="s">
        <v>1050</v>
      </c>
      <c r="G43" s="178" t="s">
        <v>1045</v>
      </c>
      <c r="H43" s="179"/>
      <c r="I43" s="113">
        <v>46234</v>
      </c>
      <c r="J43" s="109" t="s">
        <v>1040</v>
      </c>
      <c r="K43" s="96">
        <v>117.3</v>
      </c>
      <c r="L43" s="114">
        <v>0.56200000000000006</v>
      </c>
      <c r="M43" s="96">
        <v>4</v>
      </c>
      <c r="N43" s="75"/>
    </row>
    <row r="44" spans="2:14" s="76" customFormat="1" ht="31.8" customHeight="1" x14ac:dyDescent="0.7">
      <c r="B44" s="74"/>
      <c r="C44" s="96" t="s">
        <v>1044</v>
      </c>
      <c r="D44" s="186"/>
      <c r="E44" s="187"/>
      <c r="F44" s="130">
        <v>949435</v>
      </c>
      <c r="G44" s="178" t="s">
        <v>1045</v>
      </c>
      <c r="H44" s="179"/>
      <c r="I44" s="113">
        <v>46237</v>
      </c>
      <c r="J44" s="109" t="s">
        <v>1040</v>
      </c>
      <c r="K44" s="96">
        <v>49.85</v>
      </c>
      <c r="L44" s="114">
        <v>0.224</v>
      </c>
      <c r="M44" s="96">
        <v>1</v>
      </c>
      <c r="N44" s="75"/>
    </row>
    <row r="45" spans="2:14" s="76" customFormat="1" ht="31.8" customHeight="1" x14ac:dyDescent="0.7">
      <c r="B45" s="74"/>
      <c r="C45" s="96" t="s">
        <v>1044</v>
      </c>
      <c r="D45" s="186"/>
      <c r="E45" s="187"/>
      <c r="F45" s="130">
        <v>949724</v>
      </c>
      <c r="G45" s="178" t="s">
        <v>1045</v>
      </c>
      <c r="H45" s="179"/>
      <c r="I45" s="113">
        <v>46241</v>
      </c>
      <c r="J45" s="109" t="s">
        <v>1053</v>
      </c>
      <c r="K45" s="96">
        <v>99.7</v>
      </c>
      <c r="L45" s="114">
        <v>0.44790000000000002</v>
      </c>
      <c r="M45" s="96">
        <v>2</v>
      </c>
      <c r="N45" s="75"/>
    </row>
    <row r="46" spans="2:14" s="76" customFormat="1" ht="31.8" customHeight="1" x14ac:dyDescent="0.7">
      <c r="B46" s="74"/>
      <c r="C46" s="96" t="s">
        <v>1044</v>
      </c>
      <c r="D46" s="186"/>
      <c r="E46" s="187"/>
      <c r="F46" s="130">
        <v>949795</v>
      </c>
      <c r="G46" s="178" t="s">
        <v>1045</v>
      </c>
      <c r="H46" s="179"/>
      <c r="I46" s="113">
        <v>46237</v>
      </c>
      <c r="J46" s="109" t="s">
        <v>1040</v>
      </c>
      <c r="K46" s="96">
        <v>49.85</v>
      </c>
      <c r="L46" s="114">
        <v>0.224</v>
      </c>
      <c r="M46" s="96">
        <v>1</v>
      </c>
      <c r="N46" s="75"/>
    </row>
    <row r="47" spans="2:14" s="76" customFormat="1" ht="31.8" customHeight="1" x14ac:dyDescent="0.7">
      <c r="B47" s="74"/>
      <c r="C47" s="96" t="s">
        <v>1044</v>
      </c>
      <c r="D47" s="186"/>
      <c r="E47" s="187"/>
      <c r="F47" s="130">
        <v>949990</v>
      </c>
      <c r="G47" s="178" t="s">
        <v>1045</v>
      </c>
      <c r="H47" s="179"/>
      <c r="I47" s="113">
        <v>46237</v>
      </c>
      <c r="J47" s="109" t="s">
        <v>1040</v>
      </c>
      <c r="K47" s="96">
        <v>99.7</v>
      </c>
      <c r="L47" s="114">
        <v>0.44790000000000002</v>
      </c>
      <c r="M47" s="96">
        <v>2</v>
      </c>
      <c r="N47" s="75"/>
    </row>
    <row r="48" spans="2:14" s="76" customFormat="1" ht="31.8" customHeight="1" x14ac:dyDescent="0.7">
      <c r="B48" s="74"/>
      <c r="C48" s="96" t="s">
        <v>1044</v>
      </c>
      <c r="D48" s="186"/>
      <c r="E48" s="187"/>
      <c r="F48" s="130">
        <v>950274</v>
      </c>
      <c r="G48" s="178" t="s">
        <v>1045</v>
      </c>
      <c r="H48" s="179"/>
      <c r="I48" s="113">
        <v>46237</v>
      </c>
      <c r="J48" s="109" t="s">
        <v>1040</v>
      </c>
      <c r="K48" s="96">
        <v>99.7</v>
      </c>
      <c r="L48" s="114">
        <v>0.44790000000000002</v>
      </c>
      <c r="M48" s="96">
        <v>2</v>
      </c>
      <c r="N48" s="75"/>
    </row>
    <row r="49" spans="2:14" s="76" customFormat="1" ht="31.8" customHeight="1" x14ac:dyDescent="0.7">
      <c r="B49" s="74"/>
      <c r="C49" s="96" t="s">
        <v>1044</v>
      </c>
      <c r="D49" s="186"/>
      <c r="E49" s="187"/>
      <c r="F49" s="130">
        <v>293563</v>
      </c>
      <c r="G49" s="178" t="s">
        <v>1045</v>
      </c>
      <c r="H49" s="179"/>
      <c r="I49" s="113">
        <v>46238</v>
      </c>
      <c r="J49" s="109" t="s">
        <v>1040</v>
      </c>
      <c r="K49" s="96">
        <v>89.602000000000004</v>
      </c>
      <c r="L49" s="114">
        <v>0.88900000000000001</v>
      </c>
      <c r="M49" s="96">
        <v>26</v>
      </c>
      <c r="N49" s="75"/>
    </row>
    <row r="50" spans="2:14" s="76" customFormat="1" ht="31.8" customHeight="1" x14ac:dyDescent="0.6">
      <c r="B50" s="74"/>
      <c r="C50" s="96"/>
      <c r="D50" s="186"/>
      <c r="E50" s="187"/>
      <c r="F50" s="129"/>
      <c r="G50" s="178"/>
      <c r="H50" s="179"/>
      <c r="I50" s="113"/>
      <c r="J50" s="109"/>
      <c r="K50" s="96"/>
      <c r="L50" s="114"/>
      <c r="M50" s="96"/>
      <c r="N50" s="75"/>
    </row>
    <row r="51" spans="2:14" s="76" customFormat="1" ht="31.8" customHeight="1" x14ac:dyDescent="0.6">
      <c r="B51" s="74"/>
      <c r="C51" s="96"/>
      <c r="D51" s="186"/>
      <c r="E51" s="187"/>
      <c r="F51" s="129"/>
      <c r="G51" s="178"/>
      <c r="H51" s="179"/>
      <c r="I51" s="113"/>
      <c r="J51" s="109"/>
      <c r="K51" s="96"/>
      <c r="L51" s="114"/>
      <c r="M51" s="96"/>
      <c r="N51" s="75"/>
    </row>
    <row r="52" spans="2:14" s="76" customFormat="1" ht="31.8" customHeight="1" x14ac:dyDescent="0.6">
      <c r="B52" s="74"/>
      <c r="C52" s="96"/>
      <c r="D52" s="186"/>
      <c r="E52" s="187"/>
      <c r="F52" s="129"/>
      <c r="G52" s="110"/>
      <c r="H52" s="111"/>
      <c r="I52" s="113"/>
      <c r="J52" s="109"/>
      <c r="K52" s="96"/>
      <c r="L52" s="114"/>
      <c r="M52" s="96"/>
      <c r="N52" s="75"/>
    </row>
    <row r="53" spans="2:14" s="76" customFormat="1" ht="31.8" customHeight="1" x14ac:dyDescent="0.6">
      <c r="B53" s="74"/>
      <c r="C53" s="96"/>
      <c r="D53" s="186"/>
      <c r="E53" s="187"/>
      <c r="F53" s="129"/>
      <c r="G53" s="110"/>
      <c r="H53" s="111"/>
      <c r="I53" s="113"/>
      <c r="J53" s="109"/>
      <c r="K53" s="96"/>
      <c r="L53" s="114"/>
      <c r="M53" s="96"/>
      <c r="N53" s="75"/>
    </row>
    <row r="54" spans="2:14" s="76" customFormat="1" ht="31.8" customHeight="1" x14ac:dyDescent="0.6">
      <c r="B54" s="74"/>
      <c r="C54" s="96"/>
      <c r="D54" s="186"/>
      <c r="E54" s="187"/>
      <c r="F54" s="129"/>
      <c r="G54" s="110"/>
      <c r="H54" s="111"/>
      <c r="I54" s="113"/>
      <c r="J54" s="109"/>
      <c r="K54" s="96"/>
      <c r="L54" s="114"/>
      <c r="M54" s="96"/>
      <c r="N54" s="75"/>
    </row>
    <row r="55" spans="2:14" s="76" customFormat="1" ht="31.8" customHeight="1" x14ac:dyDescent="0.6">
      <c r="B55" s="74"/>
      <c r="C55" s="96"/>
      <c r="D55" s="186"/>
      <c r="E55" s="187"/>
      <c r="F55" s="129"/>
      <c r="G55" s="110"/>
      <c r="H55" s="111"/>
      <c r="I55" s="113"/>
      <c r="J55" s="109"/>
      <c r="K55" s="96"/>
      <c r="L55" s="114"/>
      <c r="M55" s="96"/>
      <c r="N55" s="75"/>
    </row>
    <row r="56" spans="2:14" s="76" customFormat="1" ht="31.8" customHeight="1" x14ac:dyDescent="0.6">
      <c r="B56" s="74"/>
      <c r="C56" s="96"/>
      <c r="D56" s="186"/>
      <c r="E56" s="187"/>
      <c r="F56" s="129"/>
      <c r="G56" s="110"/>
      <c r="H56" s="111"/>
      <c r="I56" s="113"/>
      <c r="J56" s="109"/>
      <c r="K56" s="96"/>
      <c r="L56" s="114"/>
      <c r="M56" s="96"/>
      <c r="N56" s="75"/>
    </row>
    <row r="57" spans="2:14" s="76" customFormat="1" ht="31.8" customHeight="1" x14ac:dyDescent="0.6">
      <c r="B57" s="74"/>
      <c r="C57" s="96"/>
      <c r="D57" s="186"/>
      <c r="E57" s="187"/>
      <c r="F57" s="129"/>
      <c r="G57" s="110"/>
      <c r="H57" s="111"/>
      <c r="I57" s="113"/>
      <c r="J57" s="109"/>
      <c r="K57" s="96"/>
      <c r="L57" s="114"/>
      <c r="M57" s="96"/>
      <c r="N57" s="75"/>
    </row>
    <row r="58" spans="2:14" s="76" customFormat="1" ht="31.8" customHeight="1" x14ac:dyDescent="0.6">
      <c r="B58" s="74"/>
      <c r="C58" s="96"/>
      <c r="D58" s="186"/>
      <c r="E58" s="187"/>
      <c r="F58" s="129"/>
      <c r="G58" s="110"/>
      <c r="H58" s="111"/>
      <c r="I58" s="113"/>
      <c r="J58" s="109"/>
      <c r="K58" s="96"/>
      <c r="L58" s="114"/>
      <c r="M58" s="96"/>
      <c r="N58" s="75"/>
    </row>
    <row r="59" spans="2:14" s="76" customFormat="1" ht="31.8" customHeight="1" x14ac:dyDescent="0.6">
      <c r="B59" s="74"/>
      <c r="C59" s="96"/>
      <c r="D59" s="186"/>
      <c r="E59" s="187"/>
      <c r="F59" s="129"/>
      <c r="G59" s="110"/>
      <c r="H59" s="111"/>
      <c r="I59" s="113"/>
      <c r="J59" s="109"/>
      <c r="K59" s="96"/>
      <c r="L59" s="114"/>
      <c r="M59" s="96"/>
      <c r="N59" s="75"/>
    </row>
    <row r="60" spans="2:14" s="76" customFormat="1" ht="31.8" customHeight="1" x14ac:dyDescent="0.6">
      <c r="B60" s="74"/>
      <c r="C60" s="96"/>
      <c r="D60" s="186"/>
      <c r="E60" s="187"/>
      <c r="F60" s="129"/>
      <c r="G60" s="178"/>
      <c r="H60" s="179"/>
      <c r="I60" s="113"/>
      <c r="J60" s="109"/>
      <c r="K60" s="96"/>
      <c r="L60" s="114"/>
      <c r="M60" s="96"/>
      <c r="N60" s="75"/>
    </row>
    <row r="61" spans="2:14" s="76" customFormat="1" ht="31.8" customHeight="1" x14ac:dyDescent="0.6">
      <c r="B61" s="74"/>
      <c r="C61" s="96"/>
      <c r="D61" s="186"/>
      <c r="E61" s="187"/>
      <c r="F61" s="129"/>
      <c r="G61" s="110"/>
      <c r="H61" s="111"/>
      <c r="I61" s="113"/>
      <c r="J61" s="109"/>
      <c r="K61" s="96"/>
      <c r="L61" s="114"/>
      <c r="M61" s="96"/>
      <c r="N61" s="75"/>
    </row>
    <row r="62" spans="2:14" s="76" customFormat="1" ht="31.8" customHeight="1" x14ac:dyDescent="0.6">
      <c r="B62" s="74"/>
      <c r="C62" s="96"/>
      <c r="D62" s="186"/>
      <c r="E62" s="187"/>
      <c r="F62" s="129"/>
      <c r="G62" s="110"/>
      <c r="H62" s="111"/>
      <c r="I62" s="113"/>
      <c r="J62" s="109"/>
      <c r="K62" s="96"/>
      <c r="L62" s="114"/>
      <c r="M62" s="96"/>
      <c r="N62" s="75"/>
    </row>
    <row r="63" spans="2:14" s="76" customFormat="1" ht="34.799999999999997" customHeight="1" x14ac:dyDescent="0.6">
      <c r="B63" s="74"/>
      <c r="C63" s="96"/>
      <c r="D63" s="186"/>
      <c r="E63" s="187"/>
      <c r="F63" s="129"/>
      <c r="G63" s="110"/>
      <c r="H63" s="111"/>
      <c r="I63" s="113"/>
      <c r="J63" s="109"/>
      <c r="K63" s="96"/>
      <c r="L63" s="114"/>
      <c r="M63" s="96"/>
      <c r="N63" s="75"/>
    </row>
    <row r="64" spans="2:14" s="76" customFormat="1" ht="31.8" customHeight="1" x14ac:dyDescent="0.6">
      <c r="B64" s="74"/>
      <c r="C64" s="96"/>
      <c r="D64" s="186"/>
      <c r="E64" s="187"/>
      <c r="F64" s="129"/>
      <c r="G64" s="110"/>
      <c r="H64" s="111"/>
      <c r="I64" s="113"/>
      <c r="J64" s="109"/>
      <c r="K64" s="96"/>
      <c r="L64" s="114"/>
      <c r="M64" s="96"/>
      <c r="N64" s="75"/>
    </row>
    <row r="65" spans="2:14" s="76" customFormat="1" ht="31.8" customHeight="1" x14ac:dyDescent="0.6">
      <c r="B65" s="74"/>
      <c r="C65" s="96"/>
      <c r="D65" s="186"/>
      <c r="E65" s="187"/>
      <c r="F65" s="129"/>
      <c r="G65" s="110"/>
      <c r="H65" s="111"/>
      <c r="I65" s="113"/>
      <c r="J65" s="109"/>
      <c r="K65" s="96"/>
      <c r="L65" s="114"/>
      <c r="M65" s="96"/>
      <c r="N65" s="75"/>
    </row>
    <row r="66" spans="2:14" s="76" customFormat="1" ht="31.8" customHeight="1" x14ac:dyDescent="0.6">
      <c r="B66" s="74"/>
      <c r="C66" s="96"/>
      <c r="D66" s="186"/>
      <c r="E66" s="187"/>
      <c r="F66" s="129"/>
      <c r="G66" s="110"/>
      <c r="H66" s="111"/>
      <c r="I66" s="113"/>
      <c r="J66" s="109"/>
      <c r="K66" s="96"/>
      <c r="L66" s="114"/>
      <c r="M66" s="96"/>
      <c r="N66" s="75"/>
    </row>
    <row r="67" spans="2:14" s="76" customFormat="1" ht="31.8" customHeight="1" x14ac:dyDescent="0.6">
      <c r="B67" s="74"/>
      <c r="C67" s="96"/>
      <c r="D67" s="186"/>
      <c r="E67" s="187"/>
      <c r="F67" s="129"/>
      <c r="G67" s="110"/>
      <c r="H67" s="111"/>
      <c r="I67" s="113"/>
      <c r="J67" s="109"/>
      <c r="K67" s="96"/>
      <c r="L67" s="114"/>
      <c r="M67" s="96"/>
      <c r="N67" s="75"/>
    </row>
    <row r="68" spans="2:14" s="76" customFormat="1" ht="31.8" customHeight="1" x14ac:dyDescent="0.6">
      <c r="B68" s="74"/>
      <c r="C68" s="96"/>
      <c r="D68" s="186"/>
      <c r="E68" s="187"/>
      <c r="F68" s="129"/>
      <c r="G68" s="110"/>
      <c r="H68" s="111"/>
      <c r="I68" s="113"/>
      <c r="J68" s="109"/>
      <c r="K68" s="96"/>
      <c r="L68" s="114"/>
      <c r="M68" s="96"/>
      <c r="N68" s="75"/>
    </row>
    <row r="69" spans="2:14" s="76" customFormat="1" ht="31.8" customHeight="1" x14ac:dyDescent="0.6">
      <c r="B69" s="74"/>
      <c r="C69" s="96"/>
      <c r="D69" s="186"/>
      <c r="E69" s="187"/>
      <c r="F69" s="129"/>
      <c r="G69" s="110"/>
      <c r="H69" s="111"/>
      <c r="I69" s="113"/>
      <c r="J69" s="109"/>
      <c r="K69" s="96"/>
      <c r="L69" s="114"/>
      <c r="M69" s="96"/>
      <c r="N69" s="75"/>
    </row>
    <row r="70" spans="2:14" s="76" customFormat="1" ht="31.8" customHeight="1" x14ac:dyDescent="0.6">
      <c r="B70" s="74"/>
      <c r="C70" s="96"/>
      <c r="D70" s="186"/>
      <c r="E70" s="187"/>
      <c r="F70" s="129"/>
      <c r="G70" s="178"/>
      <c r="H70" s="179"/>
      <c r="I70" s="113"/>
      <c r="J70" s="109"/>
      <c r="K70" s="96"/>
      <c r="L70" s="114"/>
      <c r="M70" s="96"/>
      <c r="N70" s="75"/>
    </row>
    <row r="71" spans="2:14" ht="31.8" thickBot="1" x14ac:dyDescent="0.65">
      <c r="B71" s="62"/>
      <c r="C71" s="72"/>
      <c r="D71" s="73"/>
      <c r="E71" s="73"/>
      <c r="F71" s="115"/>
      <c r="H71" s="16"/>
      <c r="I71" s="63"/>
      <c r="J71" s="63"/>
      <c r="K71" s="106">
        <f>SUM(K22:K70)</f>
        <v>9074.7720000000027</v>
      </c>
      <c r="L71" s="106">
        <f>SUM(L22:L70)</f>
        <v>29.881633333333344</v>
      </c>
      <c r="M71" s="107">
        <f>SUM(M22:M70)</f>
        <v>1017</v>
      </c>
      <c r="N71" s="10"/>
    </row>
    <row r="72" spans="2:14" ht="15" thickBot="1" x14ac:dyDescent="0.35">
      <c r="B72" s="5"/>
      <c r="C72" s="183" t="s">
        <v>17</v>
      </c>
      <c r="D72" s="184"/>
      <c r="E72" s="184"/>
      <c r="F72" s="184"/>
      <c r="G72" s="184"/>
      <c r="H72" s="184"/>
      <c r="I72" s="184"/>
      <c r="J72" s="184"/>
      <c r="K72" s="184"/>
      <c r="L72" s="184"/>
      <c r="M72" s="185"/>
      <c r="N72" s="5"/>
    </row>
    <row r="73" spans="2:14" ht="58.8" customHeight="1" thickBot="1" x14ac:dyDescent="0.35">
      <c r="B73" s="5"/>
      <c r="C73" s="175"/>
      <c r="D73" s="176"/>
      <c r="E73" s="176"/>
      <c r="F73" s="176"/>
      <c r="G73" s="176"/>
      <c r="H73" s="176"/>
      <c r="I73" s="176"/>
      <c r="J73" s="176"/>
      <c r="K73" s="176"/>
      <c r="L73" s="176"/>
      <c r="M73" s="177"/>
      <c r="N73" s="5"/>
    </row>
    <row r="74" spans="2:14" ht="15" thickBot="1" x14ac:dyDescent="0.35">
      <c r="B74" s="5"/>
      <c r="C74" s="183" t="s">
        <v>26</v>
      </c>
      <c r="D74" s="184"/>
      <c r="E74" s="184"/>
      <c r="F74" s="184"/>
      <c r="G74" s="184"/>
      <c r="H74" s="184"/>
      <c r="I74" s="184"/>
      <c r="J74" s="184"/>
      <c r="K74" s="184"/>
      <c r="L74" s="184"/>
      <c r="M74" s="185"/>
      <c r="N74" s="5"/>
    </row>
    <row r="75" spans="2:14" ht="33.6" customHeight="1" x14ac:dyDescent="0.3">
      <c r="B75" s="5"/>
      <c r="C75" s="169" t="s">
        <v>1044</v>
      </c>
      <c r="D75" s="170"/>
      <c r="E75" s="170"/>
      <c r="F75" s="170"/>
      <c r="G75" s="170"/>
      <c r="H75" s="170"/>
      <c r="I75" s="170"/>
      <c r="J75" s="170"/>
      <c r="K75" s="170"/>
      <c r="L75" s="170"/>
      <c r="M75" s="171"/>
      <c r="N75" s="5"/>
    </row>
    <row r="76" spans="2:14" ht="14.4" customHeight="1" x14ac:dyDescent="0.3">
      <c r="B76" s="5"/>
      <c r="C76" s="172"/>
      <c r="D76" s="173"/>
      <c r="E76" s="173"/>
      <c r="F76" s="173"/>
      <c r="G76" s="173"/>
      <c r="H76" s="173"/>
      <c r="I76" s="173"/>
      <c r="J76" s="173"/>
      <c r="K76" s="173"/>
      <c r="L76" s="173"/>
      <c r="M76" s="174"/>
      <c r="N76" s="5"/>
    </row>
    <row r="77" spans="2:14" ht="14.4" customHeight="1" x14ac:dyDescent="0.3">
      <c r="B77" s="5"/>
      <c r="C77" s="172"/>
      <c r="D77" s="173"/>
      <c r="E77" s="173"/>
      <c r="F77" s="173"/>
      <c r="G77" s="173"/>
      <c r="H77" s="173"/>
      <c r="I77" s="173"/>
      <c r="J77" s="173"/>
      <c r="K77" s="173"/>
      <c r="L77" s="173"/>
      <c r="M77" s="174"/>
      <c r="N77" s="5"/>
    </row>
    <row r="78" spans="2:14" ht="4.2" customHeight="1" thickBot="1" x14ac:dyDescent="0.35">
      <c r="B78" s="5"/>
      <c r="C78" s="80"/>
      <c r="D78" s="81"/>
      <c r="E78" s="81"/>
      <c r="F78" s="81"/>
      <c r="G78" s="81"/>
      <c r="H78" s="81"/>
      <c r="I78" s="81"/>
      <c r="J78" s="81"/>
      <c r="K78" s="81"/>
      <c r="L78" s="81"/>
      <c r="M78" s="82"/>
      <c r="N78" s="5"/>
    </row>
    <row r="79" spans="2:14" ht="14.4" hidden="1" customHeight="1" thickBot="1" x14ac:dyDescent="0.35">
      <c r="B79" s="5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2"/>
      <c r="N79" s="5"/>
    </row>
    <row r="80" spans="2:14" ht="14.4" hidden="1" customHeight="1" thickBot="1" x14ac:dyDescent="0.35">
      <c r="B80" s="5"/>
      <c r="C80" s="80"/>
      <c r="D80" s="81"/>
      <c r="E80" s="81"/>
      <c r="F80" s="81"/>
      <c r="G80" s="81"/>
      <c r="H80" s="81"/>
      <c r="I80" s="81"/>
      <c r="J80" s="81"/>
      <c r="K80" s="81"/>
      <c r="L80" s="81"/>
      <c r="M80" s="82"/>
      <c r="N80" s="5"/>
    </row>
    <row r="81" spans="2:14" ht="14.4" hidden="1" customHeight="1" thickBot="1" x14ac:dyDescent="0.35">
      <c r="B81" s="5"/>
      <c r="C81" s="80"/>
      <c r="D81" s="81"/>
      <c r="E81" s="81"/>
      <c r="F81" s="81"/>
      <c r="G81" s="81"/>
      <c r="H81" s="81"/>
      <c r="I81" s="81"/>
      <c r="J81" s="81"/>
      <c r="K81" s="81"/>
      <c r="L81" s="81"/>
      <c r="M81" s="82"/>
      <c r="N81" s="5"/>
    </row>
    <row r="82" spans="2:14" ht="14.4" hidden="1" customHeight="1" thickBot="1" x14ac:dyDescent="0.35">
      <c r="B82" s="5"/>
      <c r="C82" s="80"/>
      <c r="D82" s="81"/>
      <c r="E82" s="81"/>
      <c r="F82" s="81"/>
      <c r="G82" s="81"/>
      <c r="H82" s="81"/>
      <c r="I82" s="81"/>
      <c r="J82" s="81"/>
      <c r="K82" s="81"/>
      <c r="L82" s="81"/>
      <c r="M82" s="82"/>
      <c r="N82" s="5"/>
    </row>
    <row r="83" spans="2:14" ht="14.4" hidden="1" customHeight="1" thickBot="1" x14ac:dyDescent="0.35">
      <c r="B83" s="5"/>
      <c r="C83" s="80"/>
      <c r="D83" s="81"/>
      <c r="E83" s="81"/>
      <c r="F83" s="81"/>
      <c r="G83" s="81"/>
      <c r="H83" s="81"/>
      <c r="I83" s="81"/>
      <c r="J83" s="81"/>
      <c r="K83" s="81"/>
      <c r="L83" s="81"/>
      <c r="M83" s="82"/>
      <c r="N83" s="5"/>
    </row>
    <row r="84" spans="2:14" ht="14.4" hidden="1" customHeight="1" thickBot="1" x14ac:dyDescent="0.35">
      <c r="B84" s="5"/>
      <c r="C84" s="80"/>
      <c r="D84" s="81"/>
      <c r="E84" s="81"/>
      <c r="F84" s="81"/>
      <c r="G84" s="81"/>
      <c r="H84" s="81"/>
      <c r="I84" s="81"/>
      <c r="J84" s="81"/>
      <c r="K84" s="81"/>
      <c r="L84" s="81"/>
      <c r="M84" s="82"/>
      <c r="N84" s="5"/>
    </row>
    <row r="85" spans="2:14" ht="14.4" hidden="1" customHeight="1" thickBot="1" x14ac:dyDescent="0.35">
      <c r="B85" s="5"/>
      <c r="C85" s="80"/>
      <c r="D85" s="81"/>
      <c r="E85" s="81"/>
      <c r="F85" s="81"/>
      <c r="G85" s="81"/>
      <c r="H85" s="81"/>
      <c r="I85" s="81"/>
      <c r="J85" s="81"/>
      <c r="K85" s="81"/>
      <c r="L85" s="81"/>
      <c r="M85" s="82"/>
      <c r="N85" s="5"/>
    </row>
    <row r="86" spans="2:14" ht="14.4" hidden="1" customHeight="1" thickBot="1" x14ac:dyDescent="0.35">
      <c r="B86" s="5"/>
      <c r="C86" s="80"/>
      <c r="D86" s="81"/>
      <c r="E86" s="81"/>
      <c r="F86" s="81"/>
      <c r="G86" s="81"/>
      <c r="H86" s="81"/>
      <c r="I86" s="81"/>
      <c r="J86" s="81"/>
      <c r="K86" s="81"/>
      <c r="L86" s="81"/>
      <c r="M86" s="82"/>
      <c r="N86" s="5"/>
    </row>
    <row r="87" spans="2:14" ht="14.4" hidden="1" customHeight="1" thickBot="1" x14ac:dyDescent="0.35">
      <c r="B87" s="5"/>
      <c r="C87" s="80"/>
      <c r="D87" s="81"/>
      <c r="E87" s="81"/>
      <c r="F87" s="81"/>
      <c r="G87" s="81"/>
      <c r="H87" s="81"/>
      <c r="I87" s="81"/>
      <c r="J87" s="81"/>
      <c r="K87" s="81"/>
      <c r="L87" s="81"/>
      <c r="M87" s="82"/>
      <c r="N87" s="5"/>
    </row>
    <row r="88" spans="2:14" ht="14.4" hidden="1" customHeight="1" thickBot="1" x14ac:dyDescent="0.35">
      <c r="B88" s="5"/>
      <c r="C88" s="80"/>
      <c r="D88" s="81"/>
      <c r="E88" s="81"/>
      <c r="F88" s="81"/>
      <c r="G88" s="81"/>
      <c r="H88" s="81"/>
      <c r="I88" s="81"/>
      <c r="J88" s="81"/>
      <c r="K88" s="81"/>
      <c r="L88" s="81"/>
      <c r="M88" s="82"/>
      <c r="N88" s="5"/>
    </row>
    <row r="89" spans="2:14" ht="14.4" hidden="1" customHeight="1" thickBot="1" x14ac:dyDescent="0.35">
      <c r="B89" s="5"/>
      <c r="C89" s="80"/>
      <c r="D89" s="81"/>
      <c r="E89" s="81"/>
      <c r="F89" s="81"/>
      <c r="G89" s="81"/>
      <c r="H89" s="81"/>
      <c r="I89" s="81"/>
      <c r="J89" s="81"/>
      <c r="K89" s="81"/>
      <c r="L89" s="81"/>
      <c r="M89" s="82"/>
      <c r="N89" s="5"/>
    </row>
    <row r="90" spans="2:14" ht="14.4" hidden="1" customHeight="1" thickBot="1" x14ac:dyDescent="0.35">
      <c r="B90" s="5"/>
      <c r="C90" s="80"/>
      <c r="D90" s="81"/>
      <c r="E90" s="81"/>
      <c r="F90" s="81"/>
      <c r="G90" s="81"/>
      <c r="H90" s="81"/>
      <c r="I90" s="81"/>
      <c r="J90" s="81"/>
      <c r="K90" s="81"/>
      <c r="L90" s="81"/>
      <c r="M90" s="82"/>
      <c r="N90" s="5"/>
    </row>
    <row r="91" spans="2:14" ht="14.4" hidden="1" customHeight="1" thickBot="1" x14ac:dyDescent="0.35">
      <c r="B91" s="5"/>
      <c r="C91" s="80"/>
      <c r="D91" s="81"/>
      <c r="E91" s="81"/>
      <c r="F91" s="81"/>
      <c r="G91" s="81"/>
      <c r="H91" s="81"/>
      <c r="I91" s="81"/>
      <c r="J91" s="81"/>
      <c r="K91" s="81"/>
      <c r="L91" s="81"/>
      <c r="M91" s="82"/>
      <c r="N91" s="5"/>
    </row>
    <row r="92" spans="2:14" ht="14.4" hidden="1" customHeight="1" thickBot="1" x14ac:dyDescent="0.35">
      <c r="B92" s="5"/>
      <c r="C92" s="80"/>
      <c r="D92" s="81"/>
      <c r="E92" s="81"/>
      <c r="F92" s="81"/>
      <c r="G92" s="81"/>
      <c r="H92" s="81"/>
      <c r="I92" s="81"/>
      <c r="J92" s="81"/>
      <c r="K92" s="81"/>
      <c r="L92" s="81"/>
      <c r="M92" s="82"/>
      <c r="N92" s="5"/>
    </row>
    <row r="93" spans="2:14" ht="14.4" hidden="1" customHeight="1" thickBot="1" x14ac:dyDescent="0.35">
      <c r="B93" s="5"/>
      <c r="C93" s="80"/>
      <c r="D93" s="81"/>
      <c r="E93" s="81"/>
      <c r="F93" s="81"/>
      <c r="G93" s="81"/>
      <c r="H93" s="81"/>
      <c r="I93" s="81"/>
      <c r="J93" s="81"/>
      <c r="K93" s="81"/>
      <c r="L93" s="81"/>
      <c r="M93" s="82"/>
      <c r="N93" s="5"/>
    </row>
    <row r="94" spans="2:14" ht="14.4" hidden="1" customHeight="1" thickBot="1" x14ac:dyDescent="0.35">
      <c r="B94" s="5"/>
      <c r="C94" s="80"/>
      <c r="D94" s="81"/>
      <c r="E94" s="81"/>
      <c r="F94" s="81"/>
      <c r="G94" s="81"/>
      <c r="H94" s="81"/>
      <c r="I94" s="81"/>
      <c r="J94" s="81"/>
      <c r="K94" s="81"/>
      <c r="L94" s="81"/>
      <c r="M94" s="82"/>
      <c r="N94" s="5"/>
    </row>
    <row r="95" spans="2:14" ht="14.4" hidden="1" customHeight="1" thickBot="1" x14ac:dyDescent="0.35">
      <c r="B95" s="5"/>
      <c r="C95" s="80"/>
      <c r="D95" s="81"/>
      <c r="E95" s="81"/>
      <c r="F95" s="81"/>
      <c r="G95" s="81"/>
      <c r="H95" s="81"/>
      <c r="I95" s="81"/>
      <c r="J95" s="81"/>
      <c r="K95" s="81"/>
      <c r="L95" s="81"/>
      <c r="M95" s="82"/>
      <c r="N95" s="5"/>
    </row>
    <row r="96" spans="2:14" ht="14.4" hidden="1" customHeight="1" thickBot="1" x14ac:dyDescent="0.35">
      <c r="B96" s="5"/>
      <c r="C96" s="80"/>
      <c r="D96" s="81"/>
      <c r="E96" s="81"/>
      <c r="F96" s="81"/>
      <c r="G96" s="81"/>
      <c r="H96" s="81"/>
      <c r="I96" s="81"/>
      <c r="J96" s="81"/>
      <c r="K96" s="81"/>
      <c r="L96" s="81"/>
      <c r="M96" s="82"/>
      <c r="N96" s="5"/>
    </row>
    <row r="97" spans="2:14" ht="14.4" hidden="1" customHeight="1" thickBot="1" x14ac:dyDescent="0.35">
      <c r="B97" s="5"/>
      <c r="C97" s="80"/>
      <c r="D97" s="81"/>
      <c r="E97" s="81"/>
      <c r="F97" s="81"/>
      <c r="G97" s="81"/>
      <c r="H97" s="81"/>
      <c r="I97" s="81"/>
      <c r="J97" s="81"/>
      <c r="K97" s="81"/>
      <c r="L97" s="81"/>
      <c r="M97" s="82"/>
      <c r="N97" s="5"/>
    </row>
    <row r="98" spans="2:14" ht="14.4" hidden="1" customHeight="1" thickBot="1" x14ac:dyDescent="0.35">
      <c r="B98" s="5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2"/>
      <c r="N98" s="5"/>
    </row>
    <row r="99" spans="2:14" ht="14.4" hidden="1" customHeight="1" thickBot="1" x14ac:dyDescent="0.35">
      <c r="B99" s="5"/>
      <c r="C99" s="80"/>
      <c r="D99" s="81"/>
      <c r="E99" s="81"/>
      <c r="F99" s="81"/>
      <c r="G99" s="81"/>
      <c r="H99" s="81"/>
      <c r="I99" s="81"/>
      <c r="J99" s="81"/>
      <c r="K99" s="81"/>
      <c r="L99" s="81"/>
      <c r="M99" s="82"/>
      <c r="N99" s="5"/>
    </row>
    <row r="100" spans="2:14" ht="14.4" hidden="1" customHeight="1" thickBot="1" x14ac:dyDescent="0.35">
      <c r="B100" s="5"/>
      <c r="C100" s="80"/>
      <c r="D100" s="81"/>
      <c r="E100" s="81"/>
      <c r="F100" s="81"/>
      <c r="G100" s="81"/>
      <c r="H100" s="81"/>
      <c r="I100" s="81"/>
      <c r="J100" s="81"/>
      <c r="K100" s="81"/>
      <c r="L100" s="81"/>
      <c r="M100" s="82"/>
      <c r="N100" s="5"/>
    </row>
    <row r="101" spans="2:14" ht="7.8" hidden="1" customHeight="1" thickBot="1" x14ac:dyDescent="0.35">
      <c r="B101" s="5"/>
      <c r="C101" s="80"/>
      <c r="D101" s="81"/>
      <c r="E101" s="81"/>
      <c r="F101" s="81"/>
      <c r="G101" s="81"/>
      <c r="H101" s="81"/>
      <c r="I101" s="81"/>
      <c r="J101" s="81"/>
      <c r="K101" s="81"/>
      <c r="L101" s="81"/>
      <c r="M101" s="82"/>
      <c r="N101" s="5"/>
    </row>
    <row r="102" spans="2:14" ht="15" hidden="1" customHeight="1" thickBot="1" x14ac:dyDescent="0.35">
      <c r="B102" s="5"/>
      <c r="C102" s="80"/>
      <c r="D102" s="81"/>
      <c r="E102" s="81"/>
      <c r="F102" s="81"/>
      <c r="G102" s="81"/>
      <c r="H102" s="81"/>
      <c r="I102" s="81"/>
      <c r="J102" s="81"/>
      <c r="K102" s="81"/>
      <c r="L102" s="81"/>
      <c r="M102" s="82"/>
      <c r="N102" s="5"/>
    </row>
    <row r="103" spans="2:14" ht="42" hidden="1" customHeight="1" thickBot="1" x14ac:dyDescent="0.35">
      <c r="B103" s="5"/>
      <c r="C103" s="80"/>
      <c r="D103" s="81"/>
      <c r="E103" s="81"/>
      <c r="F103" s="81"/>
      <c r="G103" s="81"/>
      <c r="H103" s="81"/>
      <c r="I103" s="81"/>
      <c r="J103" s="81"/>
      <c r="K103" s="81"/>
      <c r="L103" s="81"/>
      <c r="M103" s="82"/>
      <c r="N103" s="5"/>
    </row>
    <row r="104" spans="2:14" ht="42" hidden="1" customHeight="1" thickBot="1" x14ac:dyDescent="0.35">
      <c r="B104" s="5"/>
      <c r="C104" s="83"/>
      <c r="D104" s="84"/>
      <c r="E104" s="84"/>
      <c r="F104" s="84"/>
      <c r="G104" s="84"/>
      <c r="H104" s="84"/>
      <c r="I104" s="84"/>
      <c r="J104" s="84"/>
      <c r="K104" s="84"/>
      <c r="L104" s="84"/>
      <c r="M104" s="85"/>
      <c r="N104" s="5"/>
    </row>
    <row r="105" spans="2:14" ht="42" customHeight="1" x14ac:dyDescent="0.3">
      <c r="B105" s="5"/>
      <c r="C105" s="180" t="s">
        <v>27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2"/>
      <c r="N105" s="5"/>
    </row>
    <row r="106" spans="2:14" ht="42" customHeight="1" x14ac:dyDescent="0.3"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</row>
    <row r="107" spans="2:14" ht="24" customHeight="1" x14ac:dyDescent="0.3"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</row>
    <row r="108" spans="2:14" x14ac:dyDescent="0.3">
      <c r="B108" s="5"/>
      <c r="C108" s="168" t="s">
        <v>24</v>
      </c>
      <c r="D108" s="168"/>
      <c r="E108" s="168"/>
      <c r="F108" s="168"/>
      <c r="J108" s="78" t="s">
        <v>24</v>
      </c>
      <c r="K108" s="78"/>
      <c r="L108" s="78"/>
      <c r="M108" s="78"/>
      <c r="N108" s="5"/>
    </row>
    <row r="109" spans="2:14" ht="15" thickBot="1" x14ac:dyDescent="0.35">
      <c r="B109" s="5"/>
      <c r="C109" s="167" t="s">
        <v>23</v>
      </c>
      <c r="D109" s="167"/>
      <c r="E109" s="167"/>
      <c r="F109" s="167"/>
      <c r="J109" s="79" t="s">
        <v>25</v>
      </c>
      <c r="K109" s="79"/>
      <c r="L109" s="79"/>
      <c r="M109" s="79"/>
      <c r="N109" s="5"/>
    </row>
    <row r="110" spans="2:14" ht="15" thickBot="1" x14ac:dyDescent="0.35"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"/>
    </row>
  </sheetData>
  <mergeCells count="111">
    <mergeCell ref="G70:H70"/>
    <mergeCell ref="G51:H51"/>
    <mergeCell ref="D55:E55"/>
    <mergeCell ref="D56:E56"/>
    <mergeCell ref="D57:E57"/>
    <mergeCell ref="D58:E58"/>
    <mergeCell ref="D63:E63"/>
    <mergeCell ref="D54:E54"/>
    <mergeCell ref="G60:H60"/>
    <mergeCell ref="D59:E59"/>
    <mergeCell ref="D60:E60"/>
    <mergeCell ref="D61:E61"/>
    <mergeCell ref="D62:E62"/>
    <mergeCell ref="D68:E68"/>
    <mergeCell ref="D69:E69"/>
    <mergeCell ref="D70:E70"/>
    <mergeCell ref="D64:E64"/>
    <mergeCell ref="D65:E65"/>
    <mergeCell ref="D42:E42"/>
    <mergeCell ref="D66:E66"/>
    <mergeCell ref="D67:E67"/>
    <mergeCell ref="G49:H49"/>
    <mergeCell ref="D51:E51"/>
    <mergeCell ref="D52:E52"/>
    <mergeCell ref="D53:E53"/>
    <mergeCell ref="G38:H38"/>
    <mergeCell ref="G44:H44"/>
    <mergeCell ref="D48:E48"/>
    <mergeCell ref="G50:H50"/>
    <mergeCell ref="D49:E49"/>
    <mergeCell ref="D50:E50"/>
    <mergeCell ref="D43:E43"/>
    <mergeCell ref="D44:E44"/>
    <mergeCell ref="D45:E45"/>
    <mergeCell ref="D46:E46"/>
    <mergeCell ref="D47:E47"/>
    <mergeCell ref="G45:H45"/>
    <mergeCell ref="G46:H46"/>
    <mergeCell ref="G47:H47"/>
    <mergeCell ref="G48:H48"/>
    <mergeCell ref="G42:H42"/>
    <mergeCell ref="G43:H43"/>
    <mergeCell ref="D35:E35"/>
    <mergeCell ref="G33:H33"/>
    <mergeCell ref="G34:H34"/>
    <mergeCell ref="D29:E29"/>
    <mergeCell ref="D28:E28"/>
    <mergeCell ref="G28:H28"/>
    <mergeCell ref="D40:E40"/>
    <mergeCell ref="D41:E41"/>
    <mergeCell ref="G40:H40"/>
    <mergeCell ref="G39:H39"/>
    <mergeCell ref="G22:H22"/>
    <mergeCell ref="D24:E24"/>
    <mergeCell ref="G26:H26"/>
    <mergeCell ref="G27:H27"/>
    <mergeCell ref="G23:H23"/>
    <mergeCell ref="D22:E22"/>
    <mergeCell ref="D26:E26"/>
    <mergeCell ref="D23:E23"/>
    <mergeCell ref="D27:E27"/>
    <mergeCell ref="D25:E25"/>
    <mergeCell ref="G24:H24"/>
    <mergeCell ref="G25:H25"/>
    <mergeCell ref="D21:E21"/>
    <mergeCell ref="G21:H21"/>
    <mergeCell ref="D15:F15"/>
    <mergeCell ref="K19:M19"/>
    <mergeCell ref="E19:F19"/>
    <mergeCell ref="G19:I19"/>
    <mergeCell ref="D13:F13"/>
    <mergeCell ref="J15:M15"/>
    <mergeCell ref="H17:I17"/>
    <mergeCell ref="K17:M17"/>
    <mergeCell ref="K13:M13"/>
    <mergeCell ref="D17:F17"/>
    <mergeCell ref="H13:I13"/>
    <mergeCell ref="D11:F11"/>
    <mergeCell ref="C3:M3"/>
    <mergeCell ref="J9:M9"/>
    <mergeCell ref="G7:H7"/>
    <mergeCell ref="D7:E7"/>
    <mergeCell ref="D5:G5"/>
    <mergeCell ref="I5:K5"/>
    <mergeCell ref="J7:K7"/>
    <mergeCell ref="J11:M11"/>
    <mergeCell ref="D9:I9"/>
    <mergeCell ref="C109:F109"/>
    <mergeCell ref="C108:F108"/>
    <mergeCell ref="C75:M77"/>
    <mergeCell ref="C73:M73"/>
    <mergeCell ref="G29:H29"/>
    <mergeCell ref="C105:M105"/>
    <mergeCell ref="C74:M74"/>
    <mergeCell ref="C72:M72"/>
    <mergeCell ref="G36:H36"/>
    <mergeCell ref="G37:H37"/>
    <mergeCell ref="D36:E36"/>
    <mergeCell ref="D37:E37"/>
    <mergeCell ref="D38:E38"/>
    <mergeCell ref="D39:E39"/>
    <mergeCell ref="G31:H31"/>
    <mergeCell ref="D32:E32"/>
    <mergeCell ref="G30:H30"/>
    <mergeCell ref="G32:H32"/>
    <mergeCell ref="D30:E30"/>
    <mergeCell ref="D31:E31"/>
    <mergeCell ref="D33:E33"/>
    <mergeCell ref="G41:H41"/>
    <mergeCell ref="G35:H35"/>
    <mergeCell ref="D34:E34"/>
  </mergeCells>
  <phoneticPr fontId="8" type="noConversion"/>
  <conditionalFormatting sqref="F22:F23">
    <cfRule type="duplicateValues" dxfId="9" priority="1"/>
  </conditionalFormatting>
  <conditionalFormatting sqref="F24:F49">
    <cfRule type="duplicateValues" dxfId="8" priority="2"/>
  </conditionalFormatting>
  <conditionalFormatting sqref="F54 F62:F64 F50:F51 F56 F58">
    <cfRule type="duplicateValues" dxfId="7" priority="5"/>
  </conditionalFormatting>
  <conditionalFormatting sqref="F55 F52:F53 F57 F59:F61">
    <cfRule type="duplicateValues" dxfId="6" priority="6"/>
  </conditionalFormatting>
  <conditionalFormatting sqref="F65:F70">
    <cfRule type="duplicateValues" dxfId="5" priority="703"/>
  </conditionalFormatting>
  <conditionalFormatting sqref="F71">
    <cfRule type="duplicateValues" dxfId="4" priority="693"/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2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9DF6-8511-498B-9162-F1D9837A6EC4}">
  <sheetPr codeName="Planilha1"/>
  <dimension ref="A1:N185"/>
  <sheetViews>
    <sheetView topLeftCell="A61" workbookViewId="0">
      <selection activeCell="J79" sqref="J79"/>
    </sheetView>
  </sheetViews>
  <sheetFormatPr defaultRowHeight="14.4" x14ac:dyDescent="0.3"/>
  <cols>
    <col min="1" max="1" width="8.88671875" style="28"/>
    <col min="2" max="2" width="35" style="28" customWidth="1"/>
    <col min="3" max="3" width="15" style="28" bestFit="1" customWidth="1"/>
    <col min="4" max="4" width="13.44140625" style="28" customWidth="1"/>
    <col min="5" max="5" width="14" style="28" customWidth="1"/>
    <col min="6" max="6" width="14.33203125" style="28" customWidth="1"/>
    <col min="7" max="7" width="15.88671875" style="28" customWidth="1"/>
    <col min="8" max="8" width="13.109375" style="28" customWidth="1"/>
    <col min="9" max="9" width="11" style="28" customWidth="1"/>
    <col min="10" max="10" width="13" style="28" bestFit="1" customWidth="1"/>
    <col min="11" max="11" width="11.6640625" style="28" bestFit="1" customWidth="1"/>
    <col min="12" max="12" width="27.33203125" style="28" bestFit="1" customWidth="1"/>
    <col min="13" max="13" width="8.88671875" style="28"/>
    <col min="14" max="14" width="10.5546875" style="28" hidden="1" customWidth="1"/>
    <col min="15" max="16384" width="8.88671875" style="28"/>
  </cols>
  <sheetData>
    <row r="1" spans="1:14" ht="15" thickBot="1" x14ac:dyDescent="0.35">
      <c r="A1" s="58" t="s">
        <v>1</v>
      </c>
      <c r="B1" s="58" t="s">
        <v>0</v>
      </c>
      <c r="C1" s="58" t="s">
        <v>29</v>
      </c>
      <c r="D1" s="58" t="s">
        <v>5</v>
      </c>
      <c r="E1" s="58" t="s">
        <v>6</v>
      </c>
      <c r="F1" s="58" t="s">
        <v>243</v>
      </c>
      <c r="G1" s="58" t="s">
        <v>3</v>
      </c>
      <c r="H1" s="58" t="s">
        <v>242</v>
      </c>
      <c r="I1" s="58" t="s">
        <v>2</v>
      </c>
      <c r="J1" s="58" t="s">
        <v>241</v>
      </c>
      <c r="K1" s="58" t="s">
        <v>275</v>
      </c>
      <c r="L1" s="58" t="s">
        <v>528</v>
      </c>
    </row>
    <row r="2" spans="1:14" ht="16.2" thickBot="1" x14ac:dyDescent="0.35">
      <c r="A2" s="29">
        <v>1</v>
      </c>
      <c r="B2" s="30" t="s">
        <v>527</v>
      </c>
      <c r="C2" s="30">
        <v>90541022504</v>
      </c>
      <c r="D2" s="30" t="s">
        <v>31</v>
      </c>
      <c r="E2" s="30" t="s">
        <v>30</v>
      </c>
      <c r="F2" s="24" t="s">
        <v>244</v>
      </c>
      <c r="G2" s="31" t="s">
        <v>32</v>
      </c>
      <c r="H2" s="31" t="s">
        <v>33</v>
      </c>
      <c r="I2" s="32" t="s">
        <v>34</v>
      </c>
      <c r="J2" s="32" t="s">
        <v>35</v>
      </c>
      <c r="K2" s="33">
        <f>VLOOKUP(Tabela2[[#This Row],[Motorista]],BUONNY!B2:D242,3,1)</f>
        <v>46155</v>
      </c>
      <c r="L2" s="33" t="str">
        <f t="shared" ref="L2:L33" ca="1" si="0">IF(K2&gt;$N$2,"ADEQUADO AO RISCO","DIVERGENTE")</f>
        <v>DIVERGENTE</v>
      </c>
      <c r="N2" s="60">
        <f ca="1">TODAY()</f>
        <v>46246</v>
      </c>
    </row>
    <row r="3" spans="1:14" ht="16.2" thickBot="1" x14ac:dyDescent="0.35">
      <c r="A3" s="29">
        <v>2</v>
      </c>
      <c r="B3" s="30" t="s">
        <v>36</v>
      </c>
      <c r="C3" s="30">
        <v>11029723559</v>
      </c>
      <c r="D3" s="30" t="s">
        <v>37</v>
      </c>
      <c r="E3" s="30" t="s">
        <v>30</v>
      </c>
      <c r="F3" s="24" t="s">
        <v>245</v>
      </c>
      <c r="G3" s="31" t="s">
        <v>32</v>
      </c>
      <c r="H3" s="31" t="s">
        <v>33</v>
      </c>
      <c r="I3" s="30" t="s">
        <v>38</v>
      </c>
      <c r="J3" s="32" t="s">
        <v>35</v>
      </c>
      <c r="K3" s="33">
        <f>VLOOKUP(Tabela2[[#This Row],[Motorista]],BUONNY!B3:D243,3,1)</f>
        <v>46207</v>
      </c>
      <c r="L3" s="33" t="str">
        <f t="shared" ca="1" si="0"/>
        <v>DIVERGENTE</v>
      </c>
    </row>
    <row r="4" spans="1:14" ht="16.2" thickBot="1" x14ac:dyDescent="0.35">
      <c r="A4" s="29">
        <v>3</v>
      </c>
      <c r="B4" s="30" t="s">
        <v>512</v>
      </c>
      <c r="C4" s="30">
        <v>9115100529</v>
      </c>
      <c r="D4" s="30" t="s">
        <v>40</v>
      </c>
      <c r="E4" s="34" t="s">
        <v>39</v>
      </c>
      <c r="F4" s="30"/>
      <c r="G4" s="31" t="s">
        <v>32</v>
      </c>
      <c r="H4" s="31" t="s">
        <v>33</v>
      </c>
      <c r="I4" s="30" t="s">
        <v>61</v>
      </c>
      <c r="J4" s="32" t="s">
        <v>35</v>
      </c>
      <c r="K4" s="33">
        <f>VLOOKUP(Tabela2[[#This Row],[Motorista]],BUONNY!B4:D244,3,1)</f>
        <v>46321</v>
      </c>
      <c r="L4" s="33" t="str">
        <f t="shared" ca="1" si="0"/>
        <v>ADEQUADO AO RISCO</v>
      </c>
    </row>
    <row r="5" spans="1:14" ht="16.2" thickBot="1" x14ac:dyDescent="0.35">
      <c r="A5" s="29">
        <v>4</v>
      </c>
      <c r="B5" s="30" t="s">
        <v>41</v>
      </c>
      <c r="C5" s="30">
        <v>1983960586</v>
      </c>
      <c r="D5" s="30" t="s">
        <v>42</v>
      </c>
      <c r="E5" s="30" t="s">
        <v>30</v>
      </c>
      <c r="F5" s="24" t="s">
        <v>246</v>
      </c>
      <c r="G5" s="31" t="s">
        <v>43</v>
      </c>
      <c r="H5" s="31" t="s">
        <v>33</v>
      </c>
      <c r="I5" s="30" t="s">
        <v>44</v>
      </c>
      <c r="J5" s="32" t="s">
        <v>35</v>
      </c>
      <c r="K5" s="33">
        <f>VLOOKUP(Tabela2[[#This Row],[Motorista]],BUONNY!B5:D245,3,1)</f>
        <v>46340</v>
      </c>
      <c r="L5" s="33" t="str">
        <f t="shared" ca="1" si="0"/>
        <v>ADEQUADO AO RISCO</v>
      </c>
    </row>
    <row r="6" spans="1:14" ht="16.2" thickBot="1" x14ac:dyDescent="0.35">
      <c r="A6" s="29">
        <v>5</v>
      </c>
      <c r="B6" s="30" t="s">
        <v>45</v>
      </c>
      <c r="C6" s="30">
        <v>3946588506</v>
      </c>
      <c r="D6" s="30" t="s">
        <v>46</v>
      </c>
      <c r="E6" s="30" t="s">
        <v>30</v>
      </c>
      <c r="F6" s="24"/>
      <c r="G6" s="31" t="s">
        <v>47</v>
      </c>
      <c r="H6" s="35" t="s">
        <v>48</v>
      </c>
      <c r="I6" s="32" t="s">
        <v>49</v>
      </c>
      <c r="J6" s="32" t="s">
        <v>50</v>
      </c>
      <c r="K6" s="33">
        <f>VLOOKUP(Tabela2[[#This Row],[Motorista]],BUONNY!B6:D246,3,1)</f>
        <v>46155</v>
      </c>
      <c r="L6" s="33" t="str">
        <f t="shared" ca="1" si="0"/>
        <v>DIVERGENTE</v>
      </c>
    </row>
    <row r="7" spans="1:14" ht="16.2" thickBot="1" x14ac:dyDescent="0.35">
      <c r="A7" s="29">
        <v>6</v>
      </c>
      <c r="B7" s="30" t="s">
        <v>51</v>
      </c>
      <c r="C7" s="30">
        <v>82875162500</v>
      </c>
      <c r="D7" s="30" t="s">
        <v>52</v>
      </c>
      <c r="E7" s="30" t="s">
        <v>30</v>
      </c>
      <c r="F7" s="24" t="s">
        <v>247</v>
      </c>
      <c r="G7" s="31">
        <v>0.75</v>
      </c>
      <c r="H7" s="31" t="s">
        <v>53</v>
      </c>
      <c r="I7" s="30" t="s">
        <v>54</v>
      </c>
      <c r="J7" s="32" t="s">
        <v>55</v>
      </c>
      <c r="K7" s="33">
        <f>VLOOKUP(Tabela2[[#This Row],[Motorista]],BUONNY!B7:D247,3,1)</f>
        <v>46389</v>
      </c>
      <c r="L7" s="33" t="str">
        <f t="shared" ca="1" si="0"/>
        <v>ADEQUADO AO RISCO</v>
      </c>
    </row>
    <row r="8" spans="1:14" ht="16.2" thickBot="1" x14ac:dyDescent="0.35">
      <c r="A8" s="29">
        <v>7</v>
      </c>
      <c r="B8" s="30" t="s">
        <v>56</v>
      </c>
      <c r="C8" s="30">
        <v>39693643534</v>
      </c>
      <c r="D8" s="30" t="s">
        <v>57</v>
      </c>
      <c r="E8" s="30" t="s">
        <v>30</v>
      </c>
      <c r="F8" s="24" t="s">
        <v>248</v>
      </c>
      <c r="G8" s="31">
        <v>0.75</v>
      </c>
      <c r="H8" s="31" t="s">
        <v>53</v>
      </c>
      <c r="I8" s="30" t="s">
        <v>54</v>
      </c>
      <c r="J8" s="32" t="s">
        <v>58</v>
      </c>
      <c r="K8" s="33">
        <f>VLOOKUP(Tabela2[[#This Row],[Motorista]],BUONNY!B8:D248,3,1)</f>
        <v>46389</v>
      </c>
      <c r="L8" s="33" t="str">
        <f t="shared" ca="1" si="0"/>
        <v>ADEQUADO AO RISCO</v>
      </c>
    </row>
    <row r="9" spans="1:14" ht="16.2" thickBot="1" x14ac:dyDescent="0.35">
      <c r="A9" s="29">
        <v>8</v>
      </c>
      <c r="B9" s="30" t="s">
        <v>502</v>
      </c>
      <c r="C9" s="30">
        <v>28235584549</v>
      </c>
      <c r="D9" s="31" t="s">
        <v>59</v>
      </c>
      <c r="E9" s="30" t="s">
        <v>30</v>
      </c>
      <c r="F9" s="24" t="s">
        <v>249</v>
      </c>
      <c r="G9" s="31" t="s">
        <v>32</v>
      </c>
      <c r="H9" s="31" t="s">
        <v>60</v>
      </c>
      <c r="I9" s="30" t="s">
        <v>61</v>
      </c>
      <c r="J9" s="32" t="s">
        <v>35</v>
      </c>
      <c r="K9" s="33">
        <f>VLOOKUP(Tabela2[[#This Row],[Motorista]],BUONNY!B9:D249,3,1)</f>
        <v>46155</v>
      </c>
      <c r="L9" s="33" t="str">
        <f t="shared" ca="1" si="0"/>
        <v>DIVERGENTE</v>
      </c>
    </row>
    <row r="10" spans="1:14" ht="16.2" thickBot="1" x14ac:dyDescent="0.35">
      <c r="A10" s="29">
        <v>9</v>
      </c>
      <c r="B10" s="30" t="s">
        <v>62</v>
      </c>
      <c r="C10" s="30">
        <v>81614012504</v>
      </c>
      <c r="D10" s="30" t="s">
        <v>63</v>
      </c>
      <c r="E10" s="34" t="s">
        <v>39</v>
      </c>
      <c r="F10" s="24" t="s">
        <v>250</v>
      </c>
      <c r="G10" s="31" t="s">
        <v>32</v>
      </c>
      <c r="H10" s="31" t="s">
        <v>60</v>
      </c>
      <c r="I10" s="30" t="s">
        <v>61</v>
      </c>
      <c r="J10" s="32" t="s">
        <v>64</v>
      </c>
      <c r="K10" s="33">
        <f>VLOOKUP(Tabela2[[#This Row],[Motorista]],BUONNY!B10:D250,3,1)</f>
        <v>46389</v>
      </c>
      <c r="L10" s="33" t="str">
        <f t="shared" ca="1" si="0"/>
        <v>ADEQUADO AO RISCO</v>
      </c>
    </row>
    <row r="11" spans="1:14" ht="16.2" thickBot="1" x14ac:dyDescent="0.35">
      <c r="A11" s="29">
        <v>10</v>
      </c>
      <c r="B11" s="30" t="s">
        <v>478</v>
      </c>
      <c r="C11" s="30">
        <v>85797056577</v>
      </c>
      <c r="D11" s="30" t="s">
        <v>65</v>
      </c>
      <c r="E11" s="34" t="s">
        <v>39</v>
      </c>
      <c r="F11" s="24" t="s">
        <v>251</v>
      </c>
      <c r="G11" s="31" t="s">
        <v>66</v>
      </c>
      <c r="H11" s="31" t="s">
        <v>67</v>
      </c>
      <c r="I11" s="32" t="s">
        <v>68</v>
      </c>
      <c r="J11" s="32" t="s">
        <v>50</v>
      </c>
      <c r="K11" s="33">
        <f>VLOOKUP(Tabela2[[#This Row],[Motorista]],BUONNY!B11:D251,3,1)</f>
        <v>46155</v>
      </c>
      <c r="L11" s="33" t="str">
        <f t="shared" ca="1" si="0"/>
        <v>DIVERGENTE</v>
      </c>
    </row>
    <row r="12" spans="1:14" ht="16.2" thickBot="1" x14ac:dyDescent="0.35">
      <c r="A12" s="29">
        <v>11</v>
      </c>
      <c r="B12" s="30" t="s">
        <v>69</v>
      </c>
      <c r="C12" s="30">
        <v>1823496598</v>
      </c>
      <c r="D12" s="36" t="s">
        <v>70</v>
      </c>
      <c r="E12" s="30" t="s">
        <v>30</v>
      </c>
      <c r="F12" s="24"/>
      <c r="G12" s="31" t="s">
        <v>32</v>
      </c>
      <c r="H12" s="31" t="s">
        <v>33</v>
      </c>
      <c r="I12" s="32" t="s">
        <v>34</v>
      </c>
      <c r="J12" s="32" t="s">
        <v>35</v>
      </c>
      <c r="K12" s="33">
        <f>VLOOKUP(Tabela2[[#This Row],[Motorista]],BUONNY!B12:D252,3,1)</f>
        <v>46155</v>
      </c>
      <c r="L12" s="33" t="str">
        <f t="shared" ca="1" si="0"/>
        <v>DIVERGENTE</v>
      </c>
    </row>
    <row r="13" spans="1:14" ht="16.2" thickBot="1" x14ac:dyDescent="0.35">
      <c r="A13" s="29">
        <v>13</v>
      </c>
      <c r="B13" s="30" t="s">
        <v>461</v>
      </c>
      <c r="C13" s="30">
        <v>86846798579</v>
      </c>
      <c r="D13" s="30" t="s">
        <v>76</v>
      </c>
      <c r="E13" s="34" t="s">
        <v>39</v>
      </c>
      <c r="F13" s="24"/>
      <c r="G13" s="31" t="s">
        <v>72</v>
      </c>
      <c r="H13" s="31" t="s">
        <v>73</v>
      </c>
      <c r="I13" s="30" t="s">
        <v>74</v>
      </c>
      <c r="J13" s="32" t="s">
        <v>75</v>
      </c>
      <c r="K13" s="33">
        <f>VLOOKUP(Tabela2[[#This Row],[Motorista]],BUONNY!B14:D254,3,1)</f>
        <v>46155</v>
      </c>
      <c r="L13" s="33" t="str">
        <f t="shared" ca="1" si="0"/>
        <v>DIVERGENTE</v>
      </c>
    </row>
    <row r="14" spans="1:14" ht="16.2" thickBot="1" x14ac:dyDescent="0.35">
      <c r="A14" s="29">
        <v>14</v>
      </c>
      <c r="B14" s="30" t="s">
        <v>77</v>
      </c>
      <c r="C14" s="30">
        <v>84498382587</v>
      </c>
      <c r="D14" s="31" t="s">
        <v>78</v>
      </c>
      <c r="E14" s="37" t="s">
        <v>30</v>
      </c>
      <c r="F14" s="24" t="s">
        <v>252</v>
      </c>
      <c r="G14" s="31" t="s">
        <v>32</v>
      </c>
      <c r="H14" s="31" t="s">
        <v>33</v>
      </c>
      <c r="I14" s="32" t="s">
        <v>34</v>
      </c>
      <c r="J14" s="32" t="s">
        <v>35</v>
      </c>
      <c r="K14" s="33">
        <f>VLOOKUP(Tabela2[[#This Row],[Motorista]],BUONNY!B15:D255,3,1)</f>
        <v>46155</v>
      </c>
      <c r="L14" s="33" t="str">
        <f t="shared" ca="1" si="0"/>
        <v>DIVERGENTE</v>
      </c>
    </row>
    <row r="15" spans="1:14" ht="16.2" thickBot="1" x14ac:dyDescent="0.35">
      <c r="A15" s="29">
        <v>15</v>
      </c>
      <c r="B15" s="30" t="s">
        <v>79</v>
      </c>
      <c r="C15" s="30">
        <v>3912249563</v>
      </c>
      <c r="D15" s="30" t="s">
        <v>80</v>
      </c>
      <c r="E15" s="30" t="s">
        <v>30</v>
      </c>
      <c r="F15" s="24"/>
      <c r="G15" s="31">
        <v>0.75</v>
      </c>
      <c r="H15" s="31" t="s">
        <v>53</v>
      </c>
      <c r="I15" s="32" t="s">
        <v>81</v>
      </c>
      <c r="J15" s="32" t="s">
        <v>82</v>
      </c>
      <c r="K15" s="33">
        <f>VLOOKUP(Tabela2[[#This Row],[Motorista]],BUONNY!B16:D256,3,1)</f>
        <v>46343</v>
      </c>
      <c r="L15" s="33" t="str">
        <f t="shared" ca="1" si="0"/>
        <v>ADEQUADO AO RISCO</v>
      </c>
    </row>
    <row r="16" spans="1:14" ht="16.2" thickBot="1" x14ac:dyDescent="0.35">
      <c r="A16" s="29">
        <v>16</v>
      </c>
      <c r="B16" s="30" t="s">
        <v>83</v>
      </c>
      <c r="C16" s="30">
        <v>4963341581</v>
      </c>
      <c r="D16" s="30" t="s">
        <v>94</v>
      </c>
      <c r="E16" s="30" t="s">
        <v>30</v>
      </c>
      <c r="F16" s="24"/>
      <c r="G16" s="31">
        <v>0.75</v>
      </c>
      <c r="H16" s="35" t="s">
        <v>48</v>
      </c>
      <c r="I16" s="30" t="s">
        <v>49</v>
      </c>
      <c r="J16" s="32" t="s">
        <v>50</v>
      </c>
      <c r="K16" s="33">
        <f>VLOOKUP(Tabela2[[#This Row],[Motorista]],BUONNY!B17:D257,3,1)</f>
        <v>46155</v>
      </c>
      <c r="L16" s="33" t="str">
        <f t="shared" ca="1" si="0"/>
        <v>DIVERGENTE</v>
      </c>
    </row>
    <row r="17" spans="1:12" ht="16.2" thickBot="1" x14ac:dyDescent="0.35">
      <c r="A17" s="29">
        <v>17</v>
      </c>
      <c r="B17" s="34" t="s">
        <v>454</v>
      </c>
      <c r="C17" s="34">
        <v>35742534515</v>
      </c>
      <c r="D17" s="38" t="s">
        <v>84</v>
      </c>
      <c r="E17" s="34" t="s">
        <v>39</v>
      </c>
      <c r="F17" s="24" t="s">
        <v>253</v>
      </c>
      <c r="G17" s="39" t="s">
        <v>32</v>
      </c>
      <c r="H17" s="31" t="s">
        <v>33</v>
      </c>
      <c r="I17" s="32" t="s">
        <v>34</v>
      </c>
      <c r="J17" s="32" t="s">
        <v>35</v>
      </c>
      <c r="K17" s="33">
        <f>VLOOKUP(Tabela2[[#This Row],[Motorista]],BUONNY!B18:D258,3,1)</f>
        <v>46155</v>
      </c>
      <c r="L17" s="33" t="str">
        <f t="shared" ca="1" si="0"/>
        <v>DIVERGENTE</v>
      </c>
    </row>
    <row r="18" spans="1:12" ht="16.2" thickBot="1" x14ac:dyDescent="0.35">
      <c r="A18" s="29">
        <v>18</v>
      </c>
      <c r="B18" s="30" t="s">
        <v>85</v>
      </c>
      <c r="C18" s="30">
        <v>77068637515</v>
      </c>
      <c r="D18" s="40" t="s">
        <v>86</v>
      </c>
      <c r="E18" s="30" t="s">
        <v>30</v>
      </c>
      <c r="F18" s="24" t="s">
        <v>254</v>
      </c>
      <c r="G18" s="31">
        <v>0.75</v>
      </c>
      <c r="H18" s="31" t="s">
        <v>87</v>
      </c>
      <c r="I18" s="32" t="s">
        <v>88</v>
      </c>
      <c r="J18" s="32" t="s">
        <v>89</v>
      </c>
      <c r="K18" s="33">
        <f>VLOOKUP(Tabela2[[#This Row],[Motorista]],BUONNY!B19:D259,3,1)</f>
        <v>46389</v>
      </c>
      <c r="L18" s="33" t="str">
        <f t="shared" ca="1" si="0"/>
        <v>ADEQUADO AO RISCO</v>
      </c>
    </row>
    <row r="19" spans="1:12" ht="16.2" thickBot="1" x14ac:dyDescent="0.35">
      <c r="A19" s="29">
        <v>19</v>
      </c>
      <c r="B19" s="34" t="s">
        <v>436</v>
      </c>
      <c r="C19" s="41">
        <v>66846978534</v>
      </c>
      <c r="D19" s="30" t="s">
        <v>90</v>
      </c>
      <c r="E19" s="34" t="s">
        <v>30</v>
      </c>
      <c r="F19" s="24"/>
      <c r="G19" s="38">
        <v>0.75</v>
      </c>
      <c r="H19" s="42" t="s">
        <v>91</v>
      </c>
      <c r="I19" s="32" t="s">
        <v>88</v>
      </c>
      <c r="J19" s="43" t="s">
        <v>92</v>
      </c>
      <c r="K19" s="33">
        <f>VLOOKUP(Tabela2[[#This Row],[Motorista]],BUONNY!B20:D260,3,1)</f>
        <v>46322</v>
      </c>
      <c r="L19" s="33" t="str">
        <f t="shared" ca="1" si="0"/>
        <v>ADEQUADO AO RISCO</v>
      </c>
    </row>
    <row r="20" spans="1:12" ht="16.2" thickBot="1" x14ac:dyDescent="0.35">
      <c r="A20" s="29">
        <v>20</v>
      </c>
      <c r="B20" s="30" t="s">
        <v>93</v>
      </c>
      <c r="C20" s="30">
        <v>6783404552</v>
      </c>
      <c r="D20" s="31" t="s">
        <v>94</v>
      </c>
      <c r="E20" s="30" t="s">
        <v>30</v>
      </c>
      <c r="F20" s="24"/>
      <c r="G20" s="31">
        <v>0.75</v>
      </c>
      <c r="H20" s="31" t="s">
        <v>87</v>
      </c>
      <c r="I20" s="32" t="s">
        <v>88</v>
      </c>
      <c r="J20" s="32" t="s">
        <v>58</v>
      </c>
      <c r="K20" s="33">
        <f>VLOOKUP(Tabela2[[#This Row],[Motorista]],BUONNY!B21:D261,3,1)</f>
        <v>45726</v>
      </c>
      <c r="L20" s="33" t="str">
        <f t="shared" ca="1" si="0"/>
        <v>DIVERGENTE</v>
      </c>
    </row>
    <row r="21" spans="1:12" ht="16.2" thickBot="1" x14ac:dyDescent="0.35">
      <c r="A21" s="29">
        <v>21</v>
      </c>
      <c r="B21" s="30" t="s">
        <v>95</v>
      </c>
      <c r="C21" s="30">
        <v>85517267572</v>
      </c>
      <c r="D21" s="30" t="s">
        <v>96</v>
      </c>
      <c r="E21" s="30" t="s">
        <v>30</v>
      </c>
      <c r="F21" s="24" t="s">
        <v>255</v>
      </c>
      <c r="G21" s="31">
        <v>0.75</v>
      </c>
      <c r="H21" s="31" t="s">
        <v>53</v>
      </c>
      <c r="I21" s="30" t="s">
        <v>856</v>
      </c>
      <c r="J21" s="32" t="s">
        <v>58</v>
      </c>
      <c r="K21" s="33">
        <f>VLOOKUP(Tabela2[[#This Row],[Motorista]],BUONNY!B22:D262,3,1)</f>
        <v>46194</v>
      </c>
      <c r="L21" s="33" t="str">
        <f t="shared" ca="1" si="0"/>
        <v>DIVERGENTE</v>
      </c>
    </row>
    <row r="22" spans="1:12" ht="16.2" thickBot="1" x14ac:dyDescent="0.35">
      <c r="A22" s="29">
        <v>22</v>
      </c>
      <c r="B22" s="30" t="s">
        <v>98</v>
      </c>
      <c r="C22" s="30">
        <v>81889755591</v>
      </c>
      <c r="D22" s="30" t="s">
        <v>99</v>
      </c>
      <c r="E22" s="30" t="s">
        <v>30</v>
      </c>
      <c r="F22" s="24" t="s">
        <v>256</v>
      </c>
      <c r="G22" s="38">
        <v>0.75</v>
      </c>
      <c r="H22" s="31" t="s">
        <v>100</v>
      </c>
      <c r="I22" s="44" t="s">
        <v>101</v>
      </c>
      <c r="J22" s="32" t="s">
        <v>58</v>
      </c>
      <c r="K22" s="33">
        <f>VLOOKUP(Tabela2[[#This Row],[Motorista]],BUONNY!B23:D263,3,1)</f>
        <v>46389</v>
      </c>
      <c r="L22" s="33" t="str">
        <f t="shared" ca="1" si="0"/>
        <v>ADEQUADO AO RISCO</v>
      </c>
    </row>
    <row r="23" spans="1:12" ht="16.2" thickBot="1" x14ac:dyDescent="0.35">
      <c r="A23" s="29">
        <v>23</v>
      </c>
      <c r="B23" s="30" t="s">
        <v>102</v>
      </c>
      <c r="C23" s="30">
        <v>94840555591</v>
      </c>
      <c r="D23" s="30" t="s">
        <v>103</v>
      </c>
      <c r="E23" s="30" t="s">
        <v>30</v>
      </c>
      <c r="F23" s="24" t="s">
        <v>274</v>
      </c>
      <c r="G23" s="31">
        <v>0.75</v>
      </c>
      <c r="H23" s="31" t="s">
        <v>53</v>
      </c>
      <c r="I23" s="30" t="s">
        <v>97</v>
      </c>
      <c r="J23" s="32" t="s">
        <v>58</v>
      </c>
      <c r="K23" s="33">
        <f>VLOOKUP(Tabela2[[#This Row],[Motorista]],BUONNY!B24:D264,3,1)</f>
        <v>46321</v>
      </c>
      <c r="L23" s="33" t="str">
        <f t="shared" ca="1" si="0"/>
        <v>ADEQUADO AO RISCO</v>
      </c>
    </row>
    <row r="24" spans="1:12" ht="16.2" thickBot="1" x14ac:dyDescent="0.35">
      <c r="A24" s="29">
        <v>24</v>
      </c>
      <c r="B24" s="30" t="s">
        <v>423</v>
      </c>
      <c r="C24" s="30">
        <v>90569440530</v>
      </c>
      <c r="D24" s="30" t="s">
        <v>104</v>
      </c>
      <c r="E24" s="30" t="s">
        <v>30</v>
      </c>
      <c r="F24" s="24"/>
      <c r="G24" s="45" t="s">
        <v>32</v>
      </c>
      <c r="H24" s="31" t="s">
        <v>33</v>
      </c>
      <c r="I24" s="32" t="s">
        <v>34</v>
      </c>
      <c r="J24" s="32" t="s">
        <v>35</v>
      </c>
      <c r="K24" s="33">
        <f>VLOOKUP(Tabela2[[#This Row],[Motorista]],BUONNY!B25:D265,3,1)</f>
        <v>46081</v>
      </c>
      <c r="L24" s="33" t="str">
        <f t="shared" ca="1" si="0"/>
        <v>DIVERGENTE</v>
      </c>
    </row>
    <row r="25" spans="1:12" ht="16.2" thickBot="1" x14ac:dyDescent="0.35">
      <c r="A25" s="29">
        <v>25</v>
      </c>
      <c r="B25" s="34" t="s">
        <v>105</v>
      </c>
      <c r="C25" s="46" t="s">
        <v>106</v>
      </c>
      <c r="D25" s="38" t="s">
        <v>107</v>
      </c>
      <c r="E25" s="34" t="s">
        <v>39</v>
      </c>
      <c r="F25" s="24" t="s">
        <v>276</v>
      </c>
      <c r="G25" s="47" t="s">
        <v>66</v>
      </c>
      <c r="H25" s="35" t="s">
        <v>149</v>
      </c>
      <c r="I25" s="30" t="s">
        <v>151</v>
      </c>
      <c r="J25" s="32" t="s">
        <v>152</v>
      </c>
      <c r="K25" s="33">
        <f>VLOOKUP(Tabela2[[#This Row],[Motorista]],BUONNY!B26:D266,3,1)</f>
        <v>46292</v>
      </c>
      <c r="L25" s="33" t="str">
        <f t="shared" ca="1" si="0"/>
        <v>ADEQUADO AO RISCO</v>
      </c>
    </row>
    <row r="26" spans="1:12" ht="16.2" thickBot="1" x14ac:dyDescent="0.35">
      <c r="A26" s="29">
        <v>26</v>
      </c>
      <c r="B26" s="30" t="s">
        <v>108</v>
      </c>
      <c r="C26" s="30">
        <v>77799470500</v>
      </c>
      <c r="D26" s="30" t="s">
        <v>109</v>
      </c>
      <c r="E26" s="30" t="s">
        <v>30</v>
      </c>
      <c r="F26" s="24" t="s">
        <v>277</v>
      </c>
      <c r="G26" s="45" t="s">
        <v>32</v>
      </c>
      <c r="H26" s="31" t="s">
        <v>33</v>
      </c>
      <c r="I26" s="32" t="s">
        <v>34</v>
      </c>
      <c r="J26" s="32" t="s">
        <v>35</v>
      </c>
      <c r="K26" s="33">
        <f>VLOOKUP(Tabela2[[#This Row],[Motorista]],BUONNY!B27:D267,3,1)</f>
        <v>45989</v>
      </c>
      <c r="L26" s="33" t="str">
        <f t="shared" ca="1" si="0"/>
        <v>DIVERGENTE</v>
      </c>
    </row>
    <row r="27" spans="1:12" ht="16.2" thickBot="1" x14ac:dyDescent="0.35">
      <c r="A27" s="29">
        <v>27</v>
      </c>
      <c r="B27" s="48" t="s">
        <v>110</v>
      </c>
      <c r="C27" s="48">
        <v>8877033568</v>
      </c>
      <c r="D27" s="48" t="s">
        <v>111</v>
      </c>
      <c r="E27" s="48" t="s">
        <v>30</v>
      </c>
      <c r="F27" s="24" t="s">
        <v>278</v>
      </c>
      <c r="G27" s="38">
        <v>0.75</v>
      </c>
      <c r="H27" s="38" t="s">
        <v>87</v>
      </c>
      <c r="I27" s="43" t="s">
        <v>54</v>
      </c>
      <c r="J27" s="43" t="s">
        <v>112</v>
      </c>
      <c r="K27" s="33">
        <f>VLOOKUP(Tabela2[[#This Row],[Motorista]],BUONNY!B28:D268,3,1)</f>
        <v>46230</v>
      </c>
      <c r="L27" s="33" t="str">
        <f t="shared" ca="1" si="0"/>
        <v>DIVERGENTE</v>
      </c>
    </row>
    <row r="28" spans="1:12" ht="16.2" thickBot="1" x14ac:dyDescent="0.35">
      <c r="A28" s="29">
        <v>28</v>
      </c>
      <c r="B28" s="30" t="s">
        <v>113</v>
      </c>
      <c r="C28" s="30">
        <v>4785270551</v>
      </c>
      <c r="D28" s="30" t="s">
        <v>114</v>
      </c>
      <c r="E28" s="30" t="s">
        <v>30</v>
      </c>
      <c r="F28" s="30"/>
      <c r="G28" s="31" t="s">
        <v>32</v>
      </c>
      <c r="H28" s="31" t="s">
        <v>33</v>
      </c>
      <c r="I28" s="32" t="s">
        <v>34</v>
      </c>
      <c r="J28" s="32" t="s">
        <v>35</v>
      </c>
      <c r="K28" s="33">
        <f>VLOOKUP(Tabela2[[#This Row],[Motorista]],BUONNY!B29:D269,3,1)</f>
        <v>46356</v>
      </c>
      <c r="L28" s="33" t="str">
        <f t="shared" ca="1" si="0"/>
        <v>ADEQUADO AO RISCO</v>
      </c>
    </row>
    <row r="29" spans="1:12" ht="16.2" thickBot="1" x14ac:dyDescent="0.35">
      <c r="A29" s="29">
        <v>29</v>
      </c>
      <c r="B29" s="34" t="s">
        <v>115</v>
      </c>
      <c r="C29" s="34">
        <v>5057170503</v>
      </c>
      <c r="D29" s="34" t="s">
        <v>116</v>
      </c>
      <c r="E29" s="34" t="s">
        <v>30</v>
      </c>
      <c r="F29" s="34"/>
      <c r="G29" s="38" t="s">
        <v>72</v>
      </c>
      <c r="H29" s="38" t="s">
        <v>73</v>
      </c>
      <c r="I29" s="34" t="s">
        <v>74</v>
      </c>
      <c r="J29" s="43" t="s">
        <v>75</v>
      </c>
      <c r="K29" s="33">
        <f>VLOOKUP(Tabela2[[#This Row],[Motorista]],BUONNY!B30:D270,3,1)</f>
        <v>46340</v>
      </c>
      <c r="L29" s="33" t="str">
        <f t="shared" ca="1" si="0"/>
        <v>ADEQUADO AO RISCO</v>
      </c>
    </row>
    <row r="30" spans="1:12" ht="16.2" thickBot="1" x14ac:dyDescent="0.35">
      <c r="A30" s="29">
        <v>30</v>
      </c>
      <c r="B30" s="30" t="s">
        <v>273</v>
      </c>
      <c r="C30" s="30">
        <v>62823442553</v>
      </c>
      <c r="D30" s="30" t="s">
        <v>117</v>
      </c>
      <c r="E30" s="30" t="s">
        <v>30</v>
      </c>
      <c r="F30" s="24" t="s">
        <v>280</v>
      </c>
      <c r="G30" s="31" t="s">
        <v>47</v>
      </c>
      <c r="H30" s="31" t="s">
        <v>118</v>
      </c>
      <c r="I30" s="45" t="s">
        <v>279</v>
      </c>
      <c r="J30" s="32" t="s">
        <v>597</v>
      </c>
      <c r="K30" s="33">
        <f>VLOOKUP(Tabela2[[#This Row],[Motorista]],BUONNY!B31:D271,3,1)</f>
        <v>46155</v>
      </c>
      <c r="L30" s="33" t="str">
        <f t="shared" ca="1" si="0"/>
        <v>DIVERGENTE</v>
      </c>
    </row>
    <row r="31" spans="1:12" ht="16.2" thickBot="1" x14ac:dyDescent="0.35">
      <c r="A31" s="29">
        <v>31</v>
      </c>
      <c r="B31" s="30" t="s">
        <v>119</v>
      </c>
      <c r="C31" s="30">
        <v>3953957554</v>
      </c>
      <c r="D31" s="31" t="s">
        <v>120</v>
      </c>
      <c r="E31" s="30" t="s">
        <v>30</v>
      </c>
      <c r="F31" s="24" t="s">
        <v>281</v>
      </c>
      <c r="G31" s="31">
        <v>0.75</v>
      </c>
      <c r="H31" s="38" t="s">
        <v>87</v>
      </c>
      <c r="I31" s="30" t="s">
        <v>121</v>
      </c>
      <c r="J31" s="32" t="s">
        <v>82</v>
      </c>
      <c r="K31" s="33">
        <f>VLOOKUP(Tabela2[[#This Row],[Motorista]],BUONNY!B32:D272,3,1)</f>
        <v>46291</v>
      </c>
      <c r="L31" s="33" t="str">
        <f t="shared" ca="1" si="0"/>
        <v>ADEQUADO AO RISCO</v>
      </c>
    </row>
    <row r="32" spans="1:12" ht="16.2" thickBot="1" x14ac:dyDescent="0.35">
      <c r="A32" s="29">
        <v>32</v>
      </c>
      <c r="B32" s="30" t="s">
        <v>122</v>
      </c>
      <c r="C32" s="30">
        <v>64766020553</v>
      </c>
      <c r="D32" s="30" t="s">
        <v>123</v>
      </c>
      <c r="E32" s="30" t="s">
        <v>30</v>
      </c>
      <c r="F32" s="24" t="s">
        <v>282</v>
      </c>
      <c r="G32" s="31" t="s">
        <v>72</v>
      </c>
      <c r="H32" s="31" t="s">
        <v>73</v>
      </c>
      <c r="I32" s="45" t="s">
        <v>74</v>
      </c>
      <c r="J32" s="32" t="s">
        <v>75</v>
      </c>
      <c r="K32" s="33">
        <f>VLOOKUP(Tabela2[[#This Row],[Motorista]],BUONNY!B33:D273,3,1)</f>
        <v>46138</v>
      </c>
      <c r="L32" s="33" t="str">
        <f t="shared" ca="1" si="0"/>
        <v>DIVERGENTE</v>
      </c>
    </row>
    <row r="33" spans="1:12" ht="16.2" thickBot="1" x14ac:dyDescent="0.35">
      <c r="A33" s="29">
        <v>33</v>
      </c>
      <c r="B33" s="37" t="s">
        <v>124</v>
      </c>
      <c r="C33" s="37">
        <v>54709733520</v>
      </c>
      <c r="D33" s="37" t="s">
        <v>125</v>
      </c>
      <c r="E33" s="37" t="s">
        <v>30</v>
      </c>
      <c r="F33" s="24" t="s">
        <v>283</v>
      </c>
      <c r="G33" s="31" t="s">
        <v>47</v>
      </c>
      <c r="H33" s="35" t="s">
        <v>48</v>
      </c>
      <c r="I33" s="32" t="s">
        <v>49</v>
      </c>
      <c r="J33" s="32" t="s">
        <v>50</v>
      </c>
      <c r="K33" s="33">
        <f>VLOOKUP(Tabela2[[#This Row],[Motorista]],BUONNY!B34:D274,3,1)</f>
        <v>46302</v>
      </c>
      <c r="L33" s="33" t="str">
        <f t="shared" ca="1" si="0"/>
        <v>ADEQUADO AO RISCO</v>
      </c>
    </row>
    <row r="34" spans="1:12" ht="16.2" thickBot="1" x14ac:dyDescent="0.35">
      <c r="A34" s="29">
        <v>34</v>
      </c>
      <c r="B34" s="49" t="s">
        <v>379</v>
      </c>
      <c r="C34" s="49">
        <v>85896082512</v>
      </c>
      <c r="D34" s="36" t="s">
        <v>70</v>
      </c>
      <c r="E34" s="37" t="s">
        <v>30</v>
      </c>
      <c r="F34" s="24"/>
      <c r="G34" s="31" t="s">
        <v>32</v>
      </c>
      <c r="H34" s="31" t="s">
        <v>33</v>
      </c>
      <c r="I34" s="32" t="s">
        <v>34</v>
      </c>
      <c r="J34" s="32" t="s">
        <v>35</v>
      </c>
      <c r="K34" s="33">
        <f>VLOOKUP(Tabela2[[#This Row],[Motorista]],BUONNY!B35:D275,3,1)</f>
        <v>46042</v>
      </c>
      <c r="L34" s="33" t="str">
        <f t="shared" ref="L34:L51" ca="1" si="1">IF(K34&gt;$N$2,"ADEQUADO AO RISCO","DIVERGENTE")</f>
        <v>DIVERGENTE</v>
      </c>
    </row>
    <row r="35" spans="1:12" ht="16.2" thickBot="1" x14ac:dyDescent="0.35">
      <c r="A35" s="29">
        <v>35</v>
      </c>
      <c r="B35" s="30" t="s">
        <v>369</v>
      </c>
      <c r="C35" s="30">
        <v>91979587604</v>
      </c>
      <c r="D35" s="30" t="s">
        <v>126</v>
      </c>
      <c r="E35" s="30" t="s">
        <v>30</v>
      </c>
      <c r="F35" s="24" t="s">
        <v>284</v>
      </c>
      <c r="G35" s="45" t="s">
        <v>72</v>
      </c>
      <c r="H35" s="31" t="s">
        <v>73</v>
      </c>
      <c r="I35" s="32" t="s">
        <v>313</v>
      </c>
      <c r="J35" s="32" t="s">
        <v>75</v>
      </c>
      <c r="K35" s="33">
        <f>VLOOKUP(Tabela2[[#This Row],[Motorista]],BUONNY!B36:D276,3,1)</f>
        <v>46291</v>
      </c>
      <c r="L35" s="33" t="str">
        <f t="shared" ca="1" si="1"/>
        <v>ADEQUADO AO RISCO</v>
      </c>
    </row>
    <row r="36" spans="1:12" ht="16.2" thickBot="1" x14ac:dyDescent="0.35">
      <c r="A36" s="29">
        <v>36</v>
      </c>
      <c r="B36" s="30" t="s">
        <v>127</v>
      </c>
      <c r="C36" s="30">
        <v>3660462500</v>
      </c>
      <c r="D36" s="30" t="s">
        <v>128</v>
      </c>
      <c r="E36" s="30" t="s">
        <v>30</v>
      </c>
      <c r="F36" s="24"/>
      <c r="G36" s="45" t="s">
        <v>72</v>
      </c>
      <c r="H36" s="31" t="s">
        <v>73</v>
      </c>
      <c r="I36" s="32" t="s">
        <v>313</v>
      </c>
      <c r="J36" s="32" t="s">
        <v>75</v>
      </c>
      <c r="K36" s="33">
        <f>VLOOKUP(Tabela2[[#This Row],[Motorista]],BUONNY!B37:D277,3,1)</f>
        <v>46300</v>
      </c>
      <c r="L36" s="33" t="str">
        <f t="shared" ca="1" si="1"/>
        <v>ADEQUADO AO RISCO</v>
      </c>
    </row>
    <row r="37" spans="1:12" ht="16.2" thickBot="1" x14ac:dyDescent="0.35">
      <c r="A37" s="29">
        <v>37</v>
      </c>
      <c r="B37" s="30" t="s">
        <v>350</v>
      </c>
      <c r="C37" s="30">
        <v>1232640573</v>
      </c>
      <c r="D37" s="31" t="s">
        <v>129</v>
      </c>
      <c r="E37" s="30" t="s">
        <v>30</v>
      </c>
      <c r="F37" s="24"/>
      <c r="G37" s="31" t="s">
        <v>32</v>
      </c>
      <c r="H37" s="31" t="s">
        <v>33</v>
      </c>
      <c r="I37" s="30" t="s">
        <v>61</v>
      </c>
      <c r="J37" s="32" t="s">
        <v>35</v>
      </c>
      <c r="K37" s="33">
        <f>VLOOKUP(Tabela2[[#This Row],[Motorista]],BUONNY!B2:D278,3,1)</f>
        <v>46291</v>
      </c>
      <c r="L37" s="33" t="str">
        <f t="shared" ca="1" si="1"/>
        <v>ADEQUADO AO RISCO</v>
      </c>
    </row>
    <row r="38" spans="1:12" ht="16.2" thickBot="1" x14ac:dyDescent="0.35">
      <c r="A38" s="29">
        <v>38</v>
      </c>
      <c r="B38" s="49" t="s">
        <v>798</v>
      </c>
      <c r="C38" s="30"/>
      <c r="D38" s="31" t="s">
        <v>131</v>
      </c>
      <c r="E38" s="30" t="s">
        <v>144</v>
      </c>
      <c r="F38" s="24" t="s">
        <v>285</v>
      </c>
      <c r="G38" s="31" t="s">
        <v>145</v>
      </c>
      <c r="H38" s="31" t="s">
        <v>87</v>
      </c>
      <c r="I38" s="45" t="s">
        <v>54</v>
      </c>
      <c r="J38" s="32" t="s">
        <v>82</v>
      </c>
      <c r="K38" s="33">
        <f>VLOOKUP(Tabela2[[#This Row],[Motorista]],BUONNY!B3:D279,3,1)</f>
        <v>46540</v>
      </c>
      <c r="L38" s="33" t="str">
        <f t="shared" ca="1" si="1"/>
        <v>ADEQUADO AO RISCO</v>
      </c>
    </row>
    <row r="39" spans="1:12" ht="16.2" thickBot="1" x14ac:dyDescent="0.35">
      <c r="A39" s="29">
        <v>39</v>
      </c>
      <c r="B39" s="49" t="s">
        <v>487</v>
      </c>
      <c r="C39" s="30" t="s">
        <v>1009</v>
      </c>
      <c r="D39" s="31" t="s">
        <v>132</v>
      </c>
      <c r="E39" s="30" t="s">
        <v>144</v>
      </c>
      <c r="F39" s="24"/>
      <c r="G39" s="31" t="s">
        <v>66</v>
      </c>
      <c r="H39" s="31" t="s">
        <v>531</v>
      </c>
      <c r="I39" s="45" t="s">
        <v>625</v>
      </c>
      <c r="J39" s="32" t="s">
        <v>266</v>
      </c>
      <c r="K39" s="33">
        <f>VLOOKUP(Tabela2[[#This Row],[Motorista]],BUONNY!B4:D280,3,1)</f>
        <v>46323</v>
      </c>
      <c r="L39" s="33" t="str">
        <f t="shared" ca="1" si="1"/>
        <v>ADEQUADO AO RISCO</v>
      </c>
    </row>
    <row r="40" spans="1:12" ht="16.2" thickBot="1" x14ac:dyDescent="0.35">
      <c r="A40" s="29">
        <v>40</v>
      </c>
      <c r="B40" s="49" t="s">
        <v>1153</v>
      </c>
      <c r="C40" s="30" t="s">
        <v>1154</v>
      </c>
      <c r="D40" s="31" t="s">
        <v>133</v>
      </c>
      <c r="E40" s="30" t="s">
        <v>144</v>
      </c>
      <c r="F40" s="24" t="s">
        <v>286</v>
      </c>
      <c r="G40" s="31" t="s">
        <v>145</v>
      </c>
      <c r="H40" s="31" t="s">
        <v>53</v>
      </c>
      <c r="I40" s="45" t="s">
        <v>541</v>
      </c>
      <c r="J40" s="32"/>
      <c r="K40" s="33">
        <f>VLOOKUP(Tabela2[[#This Row],[Motorista]],BUONNY!B5:D281,3,1)</f>
        <v>46356</v>
      </c>
      <c r="L40" s="33" t="str">
        <f t="shared" ca="1" si="1"/>
        <v>ADEQUADO AO RISCO</v>
      </c>
    </row>
    <row r="41" spans="1:12" ht="16.2" thickBot="1" x14ac:dyDescent="0.35">
      <c r="A41" s="29">
        <v>41</v>
      </c>
      <c r="B41" s="49" t="s">
        <v>798</v>
      </c>
      <c r="C41" s="30"/>
      <c r="D41" s="31" t="s">
        <v>134</v>
      </c>
      <c r="E41" s="30" t="s">
        <v>144</v>
      </c>
      <c r="F41" s="24" t="s">
        <v>287</v>
      </c>
      <c r="G41" s="31" t="s">
        <v>146</v>
      </c>
      <c r="H41" s="31" t="s">
        <v>33</v>
      </c>
      <c r="I41" s="45" t="s">
        <v>1042</v>
      </c>
      <c r="J41" s="32" t="s">
        <v>240</v>
      </c>
      <c r="K41" s="33">
        <f>VLOOKUP(Tabela2[[#This Row],[Motorista]],BUONNY!B6:D282,3,1)</f>
        <v>46540</v>
      </c>
      <c r="L41" s="33" t="str">
        <f t="shared" ca="1" si="1"/>
        <v>ADEQUADO AO RISCO</v>
      </c>
    </row>
    <row r="42" spans="1:12" ht="16.2" thickBot="1" x14ac:dyDescent="0.35">
      <c r="A42" s="29">
        <v>42</v>
      </c>
      <c r="B42" s="49" t="s">
        <v>1003</v>
      </c>
      <c r="C42" s="30"/>
      <c r="D42" s="31" t="s">
        <v>156</v>
      </c>
      <c r="E42" s="30" t="s">
        <v>144</v>
      </c>
      <c r="F42" s="24" t="s">
        <v>288</v>
      </c>
      <c r="G42" s="31" t="s">
        <v>145</v>
      </c>
      <c r="H42" s="31" t="s">
        <v>53</v>
      </c>
      <c r="I42" s="45" t="s">
        <v>541</v>
      </c>
      <c r="J42" s="32"/>
      <c r="K42" s="33">
        <f>VLOOKUP(Tabela2[[#This Row],[Motorista]],BUONNY!B7:D283,3,1)</f>
        <v>46113</v>
      </c>
      <c r="L42" s="33" t="str">
        <f t="shared" ca="1" si="1"/>
        <v>DIVERGENTE</v>
      </c>
    </row>
    <row r="43" spans="1:12" ht="16.2" thickBot="1" x14ac:dyDescent="0.35">
      <c r="A43" s="29">
        <v>43</v>
      </c>
      <c r="B43" s="49" t="s">
        <v>431</v>
      </c>
      <c r="C43" s="30" t="s">
        <v>1032</v>
      </c>
      <c r="D43" s="31" t="s">
        <v>136</v>
      </c>
      <c r="E43" s="30" t="s">
        <v>144</v>
      </c>
      <c r="F43" s="24" t="s">
        <v>289</v>
      </c>
      <c r="G43" s="31" t="s">
        <v>66</v>
      </c>
      <c r="H43" s="31" t="s">
        <v>148</v>
      </c>
      <c r="I43" s="45" t="s">
        <v>1037</v>
      </c>
      <c r="J43" s="32"/>
      <c r="K43" s="33">
        <f>VLOOKUP(Tabela2[[#This Row],[Motorista]],BUONNY!B8:D284,3,1)</f>
        <v>46050</v>
      </c>
      <c r="L43" s="33" t="str">
        <f t="shared" ca="1" si="1"/>
        <v>DIVERGENTE</v>
      </c>
    </row>
    <row r="44" spans="1:12" ht="16.2" thickBot="1" x14ac:dyDescent="0.35">
      <c r="A44" s="29">
        <v>44</v>
      </c>
      <c r="B44" s="49" t="s">
        <v>487</v>
      </c>
      <c r="C44" s="30"/>
      <c r="D44" s="31" t="s">
        <v>135</v>
      </c>
      <c r="E44" s="30" t="s">
        <v>144</v>
      </c>
      <c r="F44" s="24" t="s">
        <v>291</v>
      </c>
      <c r="G44" s="31" t="s">
        <v>47</v>
      </c>
      <c r="H44" s="31" t="s">
        <v>149</v>
      </c>
      <c r="I44" s="45" t="s">
        <v>68</v>
      </c>
      <c r="J44" s="32"/>
      <c r="K44" s="33">
        <f>VLOOKUP(Tabela2[[#This Row],[Motorista]],BUONNY!B9:D285,3,1)</f>
        <v>46323</v>
      </c>
      <c r="L44" s="33" t="str">
        <f t="shared" ca="1" si="1"/>
        <v>ADEQUADO AO RISCO</v>
      </c>
    </row>
    <row r="45" spans="1:12" ht="16.2" thickBot="1" x14ac:dyDescent="0.35">
      <c r="A45" s="29">
        <v>45</v>
      </c>
      <c r="B45" s="49" t="s">
        <v>931</v>
      </c>
      <c r="C45" s="30"/>
      <c r="D45" s="31" t="s">
        <v>138</v>
      </c>
      <c r="E45" s="30" t="s">
        <v>144</v>
      </c>
      <c r="F45" s="24"/>
      <c r="G45" s="31" t="s">
        <v>66</v>
      </c>
      <c r="H45" s="31" t="s">
        <v>148</v>
      </c>
      <c r="I45" s="45" t="s">
        <v>1037</v>
      </c>
      <c r="J45" s="32"/>
      <c r="K45" s="33">
        <f>VLOOKUP(Tabela2[[#This Row],[Motorista]],BUONNY!B10:D286,3,1)</f>
        <v>46181</v>
      </c>
      <c r="L45" s="33" t="str">
        <f t="shared" ca="1" si="1"/>
        <v>DIVERGENTE</v>
      </c>
    </row>
    <row r="46" spans="1:12" ht="16.2" thickBot="1" x14ac:dyDescent="0.35">
      <c r="A46" s="29">
        <v>46</v>
      </c>
      <c r="B46" s="49" t="s">
        <v>290</v>
      </c>
      <c r="C46" s="30"/>
      <c r="D46" s="31" t="s">
        <v>140</v>
      </c>
      <c r="E46" s="30" t="s">
        <v>144</v>
      </c>
      <c r="F46" s="24" t="s">
        <v>881</v>
      </c>
      <c r="G46" s="31" t="s">
        <v>66</v>
      </c>
      <c r="H46" s="31" t="s">
        <v>148</v>
      </c>
      <c r="I46" s="45" t="s">
        <v>1020</v>
      </c>
      <c r="J46" s="32"/>
      <c r="K46" s="33">
        <f>VLOOKUP(Tabela2[[#This Row],[Motorista]],BUONNY!B11:D287,3,1)</f>
        <v>46231</v>
      </c>
      <c r="L46" s="33" t="str">
        <f t="shared" ca="1" si="1"/>
        <v>DIVERGENTE</v>
      </c>
    </row>
    <row r="47" spans="1:12" ht="16.2" thickBot="1" x14ac:dyDescent="0.35">
      <c r="A47" s="29">
        <v>47</v>
      </c>
      <c r="B47" s="49" t="s">
        <v>374</v>
      </c>
      <c r="C47" s="30"/>
      <c r="D47" s="31" t="s">
        <v>139</v>
      </c>
      <c r="E47" s="30" t="s">
        <v>144</v>
      </c>
      <c r="F47" s="24" t="s">
        <v>293</v>
      </c>
      <c r="G47" s="31" t="s">
        <v>147</v>
      </c>
      <c r="H47" s="31" t="s">
        <v>150</v>
      </c>
      <c r="I47" s="45" t="s">
        <v>769</v>
      </c>
      <c r="J47" s="32"/>
      <c r="K47" s="33">
        <f>VLOOKUP(Tabela2[[#This Row],[Motorista]],BUONNY!B12:D288,3,1)</f>
        <v>46311</v>
      </c>
      <c r="L47" s="33" t="str">
        <f t="shared" ca="1" si="1"/>
        <v>ADEQUADO AO RISCO</v>
      </c>
    </row>
    <row r="48" spans="1:12" ht="16.2" thickBot="1" x14ac:dyDescent="0.35">
      <c r="A48" s="29">
        <v>48</v>
      </c>
      <c r="B48" s="49" t="s">
        <v>890</v>
      </c>
      <c r="C48" s="49" t="s">
        <v>933</v>
      </c>
      <c r="D48" s="31" t="s">
        <v>141</v>
      </c>
      <c r="E48" s="30" t="s">
        <v>144</v>
      </c>
      <c r="F48" s="24" t="s">
        <v>295</v>
      </c>
      <c r="G48" s="31" t="s">
        <v>47</v>
      </c>
      <c r="H48" s="31" t="s">
        <v>149</v>
      </c>
      <c r="I48" s="45" t="s">
        <v>294</v>
      </c>
      <c r="J48" s="32"/>
      <c r="K48" s="33">
        <f>VLOOKUP(Tabela2[[#This Row],[Motorista]],BUONNY!B13:D289,3,1)</f>
        <v>46540</v>
      </c>
      <c r="L48" s="33" t="str">
        <f t="shared" ca="1" si="1"/>
        <v>ADEQUADO AO RISCO</v>
      </c>
    </row>
    <row r="49" spans="1:12" ht="16.2" thickBot="1" x14ac:dyDescent="0.35">
      <c r="A49" s="29">
        <v>49</v>
      </c>
      <c r="B49" s="49" t="s">
        <v>1038</v>
      </c>
      <c r="C49" s="49"/>
      <c r="D49" s="31" t="s">
        <v>142</v>
      </c>
      <c r="E49" s="30" t="s">
        <v>144</v>
      </c>
      <c r="F49" s="24" t="s">
        <v>296</v>
      </c>
      <c r="G49" s="31" t="s">
        <v>66</v>
      </c>
      <c r="H49" s="31" t="s">
        <v>67</v>
      </c>
      <c r="I49" s="45" t="s">
        <v>626</v>
      </c>
      <c r="J49" s="32"/>
      <c r="K49" s="33">
        <f>VLOOKUP(Tabela2[[#This Row],[Motorista]],BUONNY!B14:D290,3,1)</f>
        <v>46155</v>
      </c>
      <c r="L49" s="33" t="str">
        <f t="shared" ca="1" si="1"/>
        <v>DIVERGENTE</v>
      </c>
    </row>
    <row r="50" spans="1:12" ht="16.2" thickBot="1" x14ac:dyDescent="0.35">
      <c r="A50" s="29">
        <v>50</v>
      </c>
      <c r="B50" s="49" t="s">
        <v>388</v>
      </c>
      <c r="C50" s="49" t="s">
        <v>1021</v>
      </c>
      <c r="D50" s="31" t="s">
        <v>143</v>
      </c>
      <c r="E50" s="30" t="s">
        <v>144</v>
      </c>
      <c r="F50" s="24" t="s">
        <v>297</v>
      </c>
      <c r="G50" s="31" t="s">
        <v>47</v>
      </c>
      <c r="H50" s="31" t="s">
        <v>48</v>
      </c>
      <c r="I50" s="45" t="s">
        <v>49</v>
      </c>
      <c r="J50" s="52"/>
      <c r="K50" s="33">
        <f>VLOOKUP(Tabela2[[#This Row],[Motorista]],BUONNY!B15:D291,3,1)</f>
        <v>46323</v>
      </c>
      <c r="L50" s="33" t="str">
        <f t="shared" ca="1" si="1"/>
        <v>ADEQUADO AO RISCO</v>
      </c>
    </row>
    <row r="51" spans="1:12" ht="16.2" thickBot="1" x14ac:dyDescent="0.35">
      <c r="A51" s="29">
        <v>51</v>
      </c>
      <c r="B51" s="50" t="s">
        <v>486</v>
      </c>
      <c r="C51" s="51">
        <v>5531515413</v>
      </c>
      <c r="D51" s="31" t="s">
        <v>157</v>
      </c>
      <c r="E51" s="30" t="s">
        <v>333</v>
      </c>
      <c r="F51" s="24" t="s">
        <v>1012</v>
      </c>
      <c r="G51" s="31" t="s">
        <v>147</v>
      </c>
      <c r="H51" s="31" t="s">
        <v>150</v>
      </c>
      <c r="I51" s="45" t="s">
        <v>153</v>
      </c>
      <c r="J51" s="52"/>
      <c r="K51" s="33">
        <f>VLOOKUP(Tabela2[[#This Row],[Motorista]],BUONNY!B2:D292,3,1)</f>
        <v>46292</v>
      </c>
      <c r="L51" s="33" t="str">
        <f t="shared" ca="1" si="1"/>
        <v>ADEQUADO AO RISCO</v>
      </c>
    </row>
    <row r="52" spans="1:12" ht="16.2" thickBot="1" x14ac:dyDescent="0.35">
      <c r="A52" s="29">
        <v>52</v>
      </c>
      <c r="B52" s="53" t="s">
        <v>158</v>
      </c>
      <c r="C52" s="49" t="s">
        <v>929</v>
      </c>
      <c r="D52" s="31" t="s">
        <v>159</v>
      </c>
      <c r="E52" s="30" t="s">
        <v>30</v>
      </c>
      <c r="F52" s="24" t="s">
        <v>298</v>
      </c>
      <c r="G52" s="31" t="s">
        <v>47</v>
      </c>
      <c r="H52" s="35" t="s">
        <v>48</v>
      </c>
      <c r="I52" s="32" t="s">
        <v>155</v>
      </c>
      <c r="J52" s="32" t="s">
        <v>50</v>
      </c>
      <c r="K52" s="33">
        <f>VLOOKUP(BUONNY!B221,BUONNY!B1:D241,3,1)</f>
        <v>46291</v>
      </c>
      <c r="L52" s="33" t="str">
        <f t="shared" ref="L52" ca="1" si="2">IF(K52&gt;$N$2,"ADEQUADO AO RISCO","DIVERGENTE")</f>
        <v>ADEQUADO AO RISCO</v>
      </c>
    </row>
    <row r="53" spans="1:12" ht="16.2" thickBot="1" x14ac:dyDescent="0.35">
      <c r="A53" s="29">
        <v>53</v>
      </c>
      <c r="B53" s="53" t="s">
        <v>292</v>
      </c>
      <c r="C53" s="49">
        <v>5781911561</v>
      </c>
      <c r="D53" s="31" t="s">
        <v>160</v>
      </c>
      <c r="E53" s="30" t="s">
        <v>30</v>
      </c>
      <c r="F53" s="24"/>
      <c r="G53" s="31" t="s">
        <v>66</v>
      </c>
      <c r="H53" s="35" t="s">
        <v>67</v>
      </c>
      <c r="I53" s="32" t="s">
        <v>68</v>
      </c>
      <c r="J53" s="32" t="s">
        <v>152</v>
      </c>
      <c r="K53" s="33">
        <f>VLOOKUP(BUONNY!B222,BUONNY!B2:D242,3,1)</f>
        <v>46155</v>
      </c>
      <c r="L53" s="33" t="str">
        <f t="shared" ref="L53:L117" ca="1" si="3">IF(K53&gt;$N$2,"ADEQUADO AO RISCO","DIVERGENTE")</f>
        <v>DIVERGENTE</v>
      </c>
    </row>
    <row r="54" spans="1:12" ht="16.2" thickBot="1" x14ac:dyDescent="0.35">
      <c r="A54" s="29">
        <v>54</v>
      </c>
      <c r="B54" s="53" t="s">
        <v>164</v>
      </c>
      <c r="C54" s="49">
        <v>38427583087</v>
      </c>
      <c r="D54" s="23" t="s">
        <v>165</v>
      </c>
      <c r="E54" s="30" t="s">
        <v>166</v>
      </c>
      <c r="F54" s="24" t="s">
        <v>299</v>
      </c>
      <c r="G54" s="31" t="s">
        <v>147</v>
      </c>
      <c r="H54" s="35" t="s">
        <v>167</v>
      </c>
      <c r="I54" s="32" t="s">
        <v>153</v>
      </c>
      <c r="J54" s="32">
        <v>25000</v>
      </c>
      <c r="K54" s="33">
        <f>VLOOKUP(BUONNY!B223,BUONNY!B3:D243,3,1)</f>
        <v>46285</v>
      </c>
      <c r="L54" s="33" t="str">
        <f t="shared" ca="1" si="3"/>
        <v>ADEQUADO AO RISCO</v>
      </c>
    </row>
    <row r="55" spans="1:12" ht="16.2" thickBot="1" x14ac:dyDescent="0.35">
      <c r="A55" s="29">
        <v>55</v>
      </c>
      <c r="B55" s="53" t="s">
        <v>168</v>
      </c>
      <c r="C55" s="49" t="s">
        <v>169</v>
      </c>
      <c r="D55" s="23" t="s">
        <v>170</v>
      </c>
      <c r="E55" s="30" t="s">
        <v>171</v>
      </c>
      <c r="F55" s="24"/>
      <c r="G55" s="31" t="s">
        <v>147</v>
      </c>
      <c r="H55" s="35" t="s">
        <v>167</v>
      </c>
      <c r="I55" s="32" t="s">
        <v>153</v>
      </c>
      <c r="J55" s="32">
        <v>25000</v>
      </c>
      <c r="K55" s="33">
        <f>VLOOKUP(BUONNY!B224,BUONNY!B4:D244,3,1)</f>
        <v>45915</v>
      </c>
      <c r="L55" s="33" t="str">
        <f t="shared" ca="1" si="3"/>
        <v>DIVERGENTE</v>
      </c>
    </row>
    <row r="56" spans="1:12" ht="16.2" thickBot="1" x14ac:dyDescent="0.35">
      <c r="A56" s="29">
        <v>56</v>
      </c>
      <c r="B56" s="53" t="s">
        <v>458</v>
      </c>
      <c r="C56" s="49" t="s">
        <v>585</v>
      </c>
      <c r="D56" s="49" t="s">
        <v>188</v>
      </c>
      <c r="E56" s="30" t="s">
        <v>30</v>
      </c>
      <c r="F56" s="24" t="s">
        <v>586</v>
      </c>
      <c r="G56" s="31" t="s">
        <v>66</v>
      </c>
      <c r="H56" s="35" t="s">
        <v>67</v>
      </c>
      <c r="I56" s="32" t="s">
        <v>68</v>
      </c>
      <c r="J56" s="32" t="s">
        <v>152</v>
      </c>
      <c r="K56" s="33">
        <f>VLOOKUP(BUONNY!B225,BUONNY!B5:D245,3,1)</f>
        <v>46054</v>
      </c>
      <c r="L56" s="33" t="str">
        <f t="shared" ca="1" si="3"/>
        <v>DIVERGENTE</v>
      </c>
    </row>
    <row r="57" spans="1:12" ht="16.2" thickBot="1" x14ac:dyDescent="0.35">
      <c r="A57" s="29">
        <v>57</v>
      </c>
      <c r="B57" s="53" t="s">
        <v>172</v>
      </c>
      <c r="C57" s="49">
        <v>87358107500</v>
      </c>
      <c r="D57" s="23" t="s">
        <v>173</v>
      </c>
      <c r="E57" s="30"/>
      <c r="F57" s="24" t="s">
        <v>300</v>
      </c>
      <c r="G57" s="31" t="s">
        <v>66</v>
      </c>
      <c r="H57" s="35" t="s">
        <v>67</v>
      </c>
      <c r="I57" s="32" t="s">
        <v>68</v>
      </c>
      <c r="J57" s="32" t="s">
        <v>152</v>
      </c>
      <c r="K57" s="33">
        <f>VLOOKUP(BUONNY!B226,BUONNY!B6:D246,3,1)</f>
        <v>46300</v>
      </c>
      <c r="L57" s="33" t="str">
        <f t="shared" ca="1" si="3"/>
        <v>ADEQUADO AO RISCO</v>
      </c>
    </row>
    <row r="58" spans="1:12" ht="16.2" thickBot="1" x14ac:dyDescent="0.35">
      <c r="A58" s="29">
        <v>58</v>
      </c>
      <c r="B58" s="53" t="s">
        <v>301</v>
      </c>
      <c r="C58" s="49" t="s">
        <v>865</v>
      </c>
      <c r="D58" s="23" t="s">
        <v>174</v>
      </c>
      <c r="E58" s="30" t="s">
        <v>30</v>
      </c>
      <c r="F58" s="24" t="s">
        <v>302</v>
      </c>
      <c r="G58" s="31" t="s">
        <v>66</v>
      </c>
      <c r="H58" s="35" t="s">
        <v>67</v>
      </c>
      <c r="I58" s="32" t="s">
        <v>860</v>
      </c>
      <c r="J58" s="32" t="s">
        <v>152</v>
      </c>
      <c r="K58" s="33">
        <f>VLOOKUP(BUONNY!B227,BUONNY!B7:D247,3,1)</f>
        <v>46540</v>
      </c>
      <c r="L58" s="33" t="str">
        <f t="shared" ca="1" si="3"/>
        <v>ADEQUADO AO RISCO</v>
      </c>
    </row>
    <row r="59" spans="1:12" ht="16.2" thickBot="1" x14ac:dyDescent="0.35">
      <c r="A59" s="29">
        <v>59</v>
      </c>
      <c r="B59" s="53" t="s">
        <v>175</v>
      </c>
      <c r="C59" s="49" t="s">
        <v>177</v>
      </c>
      <c r="D59" s="23" t="s">
        <v>176</v>
      </c>
      <c r="E59" s="30"/>
      <c r="F59" s="24" t="s">
        <v>303</v>
      </c>
      <c r="G59" s="31" t="s">
        <v>145</v>
      </c>
      <c r="H59" s="35" t="s">
        <v>53</v>
      </c>
      <c r="I59" s="32" t="s">
        <v>541</v>
      </c>
      <c r="J59" s="32" t="s">
        <v>597</v>
      </c>
      <c r="K59" s="33">
        <f>VLOOKUP(BUONNY!B228,BUONNY!B8:D248,3,1)</f>
        <v>46155</v>
      </c>
      <c r="L59" s="33" t="str">
        <f t="shared" ca="1" si="3"/>
        <v>DIVERGENTE</v>
      </c>
    </row>
    <row r="60" spans="1:12" ht="16.2" thickBot="1" x14ac:dyDescent="0.35">
      <c r="A60" s="29">
        <v>60</v>
      </c>
      <c r="B60" s="53" t="s">
        <v>441</v>
      </c>
      <c r="C60" s="49" t="s">
        <v>180</v>
      </c>
      <c r="D60" s="23" t="s">
        <v>178</v>
      </c>
      <c r="E60" s="30"/>
      <c r="F60" s="24" t="s">
        <v>304</v>
      </c>
      <c r="G60" s="31" t="s">
        <v>145</v>
      </c>
      <c r="H60" s="35" t="s">
        <v>53</v>
      </c>
      <c r="I60" s="32" t="s">
        <v>179</v>
      </c>
      <c r="J60" s="32"/>
      <c r="K60" s="33">
        <f>VLOOKUP(BUONNY!B229,BUONNY!B9:D249,3,1)</f>
        <v>46264</v>
      </c>
      <c r="L60" s="33" t="str">
        <f t="shared" ca="1" si="3"/>
        <v>ADEQUADO AO RISCO</v>
      </c>
    </row>
    <row r="61" spans="1:12" ht="16.2" thickBot="1" x14ac:dyDescent="0.35">
      <c r="A61" s="29">
        <v>61</v>
      </c>
      <c r="B61" s="53" t="s">
        <v>185</v>
      </c>
      <c r="C61" s="49" t="s">
        <v>566</v>
      </c>
      <c r="D61" s="23" t="s">
        <v>184</v>
      </c>
      <c r="E61" s="30" t="s">
        <v>181</v>
      </c>
      <c r="F61" s="24" t="s">
        <v>307</v>
      </c>
      <c r="G61" s="31" t="s">
        <v>145</v>
      </c>
      <c r="H61" s="35" t="s">
        <v>53</v>
      </c>
      <c r="I61" s="32" t="s">
        <v>306</v>
      </c>
      <c r="J61" s="32"/>
      <c r="K61" s="33">
        <f>VLOOKUP(BUONNY!B230,BUONNY!B10:D250,3,1)</f>
        <v>46330</v>
      </c>
      <c r="L61" s="33" t="str">
        <f t="shared" ca="1" si="3"/>
        <v>ADEQUADO AO RISCO</v>
      </c>
    </row>
    <row r="62" spans="1:12" ht="16.2" thickBot="1" x14ac:dyDescent="0.35">
      <c r="A62" s="29">
        <v>62</v>
      </c>
      <c r="B62" s="53" t="s">
        <v>190</v>
      </c>
      <c r="C62" s="49" t="s">
        <v>923</v>
      </c>
      <c r="D62" s="23" t="s">
        <v>189</v>
      </c>
      <c r="E62" s="30" t="s">
        <v>30</v>
      </c>
      <c r="F62" s="24" t="s">
        <v>308</v>
      </c>
      <c r="G62" s="31" t="s">
        <v>47</v>
      </c>
      <c r="H62" s="35" t="s">
        <v>272</v>
      </c>
      <c r="I62" s="32" t="s">
        <v>68</v>
      </c>
      <c r="J62" s="32" t="s">
        <v>50</v>
      </c>
      <c r="K62" s="33">
        <f>VLOOKUP(BUONNY!B231,BUONNY!B11:D251,3,1)</f>
        <v>46061</v>
      </c>
      <c r="L62" s="33" t="str">
        <f t="shared" ca="1" si="3"/>
        <v>DIVERGENTE</v>
      </c>
    </row>
    <row r="63" spans="1:12" ht="16.2" thickBot="1" x14ac:dyDescent="0.35">
      <c r="A63" s="29">
        <v>63</v>
      </c>
      <c r="B63" s="53" t="s">
        <v>500</v>
      </c>
      <c r="C63" s="49"/>
      <c r="D63" s="23" t="s">
        <v>183</v>
      </c>
      <c r="E63" s="30" t="s">
        <v>144</v>
      </c>
      <c r="F63" s="24" t="s">
        <v>309</v>
      </c>
      <c r="G63" s="31" t="s">
        <v>47</v>
      </c>
      <c r="H63" s="35" t="s">
        <v>48</v>
      </c>
      <c r="I63" s="32" t="s">
        <v>155</v>
      </c>
      <c r="J63" s="32" t="s">
        <v>50</v>
      </c>
      <c r="K63" s="33">
        <f>VLOOKUP(BUONNY!B232,BUONNY!B12:D252,3,1)</f>
        <v>46155</v>
      </c>
      <c r="L63" s="33" t="str">
        <f t="shared" ca="1" si="3"/>
        <v>DIVERGENTE</v>
      </c>
    </row>
    <row r="64" spans="1:12" ht="16.2" thickBot="1" x14ac:dyDescent="0.35">
      <c r="A64" s="29">
        <v>64</v>
      </c>
      <c r="B64" s="53" t="s">
        <v>191</v>
      </c>
      <c r="C64" s="49"/>
      <c r="D64" s="23" t="s">
        <v>192</v>
      </c>
      <c r="E64" s="30"/>
      <c r="F64" s="24" t="s">
        <v>311</v>
      </c>
      <c r="G64" s="31" t="s">
        <v>47</v>
      </c>
      <c r="H64" s="35" t="s">
        <v>48</v>
      </c>
      <c r="I64" s="32" t="s">
        <v>49</v>
      </c>
      <c r="J64" s="32" t="s">
        <v>50</v>
      </c>
      <c r="K64" s="33">
        <f>VLOOKUP(BUONNY!B233,BUONNY!B13:D253,3,1)</f>
        <v>46504</v>
      </c>
      <c r="L64" s="33" t="str">
        <f t="shared" ca="1" si="3"/>
        <v>ADEQUADO AO RISCO</v>
      </c>
    </row>
    <row r="65" spans="1:12" ht="16.2" thickBot="1" x14ac:dyDescent="0.35">
      <c r="A65" s="29">
        <v>65</v>
      </c>
      <c r="B65" s="53" t="s">
        <v>193</v>
      </c>
      <c r="C65" s="49"/>
      <c r="D65" s="23" t="s">
        <v>194</v>
      </c>
      <c r="E65" s="30" t="s">
        <v>30</v>
      </c>
      <c r="F65" s="31"/>
      <c r="G65" s="31">
        <v>0.75</v>
      </c>
      <c r="H65" s="35" t="s">
        <v>53</v>
      </c>
      <c r="I65" s="32" t="s">
        <v>306</v>
      </c>
      <c r="J65" s="32"/>
      <c r="K65" s="33">
        <f>VLOOKUP(BUONNY!B234,BUONNY!B14:D254,3,1)</f>
        <v>46349</v>
      </c>
      <c r="L65" s="33" t="str">
        <f t="shared" ca="1" si="3"/>
        <v>ADEQUADO AO RISCO</v>
      </c>
    </row>
    <row r="66" spans="1:12" ht="16.2" thickBot="1" x14ac:dyDescent="0.35">
      <c r="A66" s="29">
        <v>66</v>
      </c>
      <c r="B66" s="53" t="s">
        <v>196</v>
      </c>
      <c r="C66" s="49" t="s">
        <v>690</v>
      </c>
      <c r="D66" s="23" t="s">
        <v>195</v>
      </c>
      <c r="E66" s="30" t="s">
        <v>39</v>
      </c>
      <c r="F66" s="31" t="s">
        <v>691</v>
      </c>
      <c r="G66" s="31" t="s">
        <v>66</v>
      </c>
      <c r="H66" s="35" t="s">
        <v>149</v>
      </c>
      <c r="I66" s="32" t="s">
        <v>68</v>
      </c>
      <c r="J66" s="32" t="s">
        <v>692</v>
      </c>
      <c r="K66" s="33">
        <f>VLOOKUP(BUONNY!B235,BUONNY!B15:D255,3,1)</f>
        <v>45589</v>
      </c>
      <c r="L66" s="33" t="str">
        <f t="shared" ca="1" si="3"/>
        <v>DIVERGENTE</v>
      </c>
    </row>
    <row r="67" spans="1:12" ht="16.2" thickBot="1" x14ac:dyDescent="0.35">
      <c r="A67" s="29">
        <v>67</v>
      </c>
      <c r="B67" s="53" t="s">
        <v>515</v>
      </c>
      <c r="C67" s="49">
        <v>86753541500</v>
      </c>
      <c r="D67" s="23" t="s">
        <v>198</v>
      </c>
      <c r="E67" s="30" t="s">
        <v>327</v>
      </c>
      <c r="F67" s="31"/>
      <c r="G67" s="31" t="s">
        <v>66</v>
      </c>
      <c r="H67" s="35" t="s">
        <v>319</v>
      </c>
      <c r="I67" s="32" t="s">
        <v>544</v>
      </c>
      <c r="J67" s="32" t="s">
        <v>152</v>
      </c>
      <c r="K67" s="33">
        <f>VLOOKUP(BUONNY!B236,BUONNY!B16:D256,3,1)</f>
        <v>46054</v>
      </c>
      <c r="L67" s="33" t="str">
        <f t="shared" ca="1" si="3"/>
        <v>DIVERGENTE</v>
      </c>
    </row>
    <row r="68" spans="1:12" ht="16.2" thickBot="1" x14ac:dyDescent="0.35">
      <c r="A68" s="29">
        <v>68</v>
      </c>
      <c r="B68" s="53" t="s">
        <v>71</v>
      </c>
      <c r="C68" s="49" t="s">
        <v>976</v>
      </c>
      <c r="D68" s="23" t="s">
        <v>200</v>
      </c>
      <c r="E68" s="30"/>
      <c r="F68" s="24" t="s">
        <v>318</v>
      </c>
      <c r="G68" s="23" t="s">
        <v>47</v>
      </c>
      <c r="H68" s="35" t="s">
        <v>48</v>
      </c>
      <c r="I68" s="32" t="s">
        <v>49</v>
      </c>
      <c r="J68" s="32" t="s">
        <v>50</v>
      </c>
      <c r="K68" s="33">
        <f>VLOOKUP(BUONNY!B237,BUONNY!B17:D257,3,1)</f>
        <v>46280</v>
      </c>
      <c r="L68" s="33" t="str">
        <f t="shared" ca="1" si="3"/>
        <v>ADEQUADO AO RISCO</v>
      </c>
    </row>
    <row r="69" spans="1:12" ht="16.2" thickBot="1" x14ac:dyDescent="0.35">
      <c r="A69" s="29">
        <v>69</v>
      </c>
      <c r="B69" s="53" t="s">
        <v>202</v>
      </c>
      <c r="C69" s="49" t="s">
        <v>265</v>
      </c>
      <c r="D69" s="23" t="s">
        <v>201</v>
      </c>
      <c r="E69" s="30"/>
      <c r="F69" s="24" t="s">
        <v>320</v>
      </c>
      <c r="G69" s="23" t="s">
        <v>66</v>
      </c>
      <c r="H69" s="35" t="s">
        <v>319</v>
      </c>
      <c r="I69" s="32" t="s">
        <v>322</v>
      </c>
      <c r="J69" s="32" t="s">
        <v>266</v>
      </c>
      <c r="K69" s="33">
        <f>VLOOKUP(BUONNY!B238,BUONNY!B18:D258,3,1)</f>
        <v>46155</v>
      </c>
      <c r="L69" s="33" t="str">
        <f t="shared" ca="1" si="3"/>
        <v>DIVERGENTE</v>
      </c>
    </row>
    <row r="70" spans="1:12" ht="16.2" thickBot="1" x14ac:dyDescent="0.35">
      <c r="A70" s="29">
        <v>70</v>
      </c>
      <c r="B70" s="53" t="s">
        <v>548</v>
      </c>
      <c r="C70" s="49"/>
      <c r="D70" s="23" t="s">
        <v>546</v>
      </c>
      <c r="E70" s="30" t="s">
        <v>547</v>
      </c>
      <c r="F70" s="24"/>
      <c r="G70" s="23" t="s">
        <v>147</v>
      </c>
      <c r="H70" s="35" t="s">
        <v>549</v>
      </c>
      <c r="I70" s="32"/>
      <c r="J70" s="32" t="s">
        <v>550</v>
      </c>
      <c r="K70" s="33">
        <f>VLOOKUP(BUONNY!B239,BUONNY!B19:D259,3,1)</f>
        <v>46284</v>
      </c>
      <c r="L70" s="33" t="str">
        <f t="shared" ca="1" si="3"/>
        <v>ADEQUADO AO RISCO</v>
      </c>
    </row>
    <row r="71" spans="1:12" ht="16.2" thickBot="1" x14ac:dyDescent="0.35">
      <c r="A71" s="29">
        <v>71</v>
      </c>
      <c r="B71" s="53" t="s">
        <v>203</v>
      </c>
      <c r="C71" s="49"/>
      <c r="D71" s="23" t="s">
        <v>204</v>
      </c>
      <c r="E71" s="30" t="s">
        <v>205</v>
      </c>
      <c r="F71" s="24" t="s">
        <v>321</v>
      </c>
      <c r="G71" s="23" t="s">
        <v>147</v>
      </c>
      <c r="H71" s="35" t="s">
        <v>150</v>
      </c>
      <c r="I71" s="32" t="s">
        <v>153</v>
      </c>
      <c r="J71" s="32"/>
      <c r="K71" s="33">
        <f>VLOOKUP(BUONNY!B240,BUONNY!B20:D260,3,1)</f>
        <v>46155</v>
      </c>
      <c r="L71" s="33" t="str">
        <f t="shared" ca="1" si="3"/>
        <v>DIVERGENTE</v>
      </c>
    </row>
    <row r="72" spans="1:12" ht="16.2" thickBot="1" x14ac:dyDescent="0.35">
      <c r="A72" s="29">
        <v>72</v>
      </c>
      <c r="B72" s="53" t="s">
        <v>206</v>
      </c>
      <c r="C72" s="49" t="s">
        <v>928</v>
      </c>
      <c r="D72" s="23" t="s">
        <v>207</v>
      </c>
      <c r="E72" s="30" t="s">
        <v>208</v>
      </c>
      <c r="F72" s="24" t="s">
        <v>618</v>
      </c>
      <c r="G72" s="23" t="s">
        <v>147</v>
      </c>
      <c r="H72" s="35" t="s">
        <v>167</v>
      </c>
      <c r="I72" s="32" t="s">
        <v>800</v>
      </c>
      <c r="J72" s="32" t="s">
        <v>533</v>
      </c>
      <c r="K72" s="33">
        <f>VLOOKUP(BUONNY!B241,BUONNY!B21:D261,3,1)</f>
        <v>46155</v>
      </c>
      <c r="L72" s="33" t="str">
        <f t="shared" ca="1" si="3"/>
        <v>DIVERGENTE</v>
      </c>
    </row>
    <row r="73" spans="1:12" ht="16.2" thickBot="1" x14ac:dyDescent="0.35">
      <c r="A73" s="29">
        <v>73</v>
      </c>
      <c r="B73" s="53" t="s">
        <v>894</v>
      </c>
      <c r="C73" s="49" t="s">
        <v>932</v>
      </c>
      <c r="D73" s="23" t="s">
        <v>209</v>
      </c>
      <c r="E73" s="30" t="s">
        <v>210</v>
      </c>
      <c r="F73" s="24" t="s">
        <v>323</v>
      </c>
      <c r="G73" s="23" t="s">
        <v>147</v>
      </c>
      <c r="H73" s="35" t="s">
        <v>167</v>
      </c>
      <c r="I73" s="32" t="s">
        <v>536</v>
      </c>
      <c r="J73" s="32" t="s">
        <v>645</v>
      </c>
      <c r="K73" s="33">
        <f>VLOOKUP(BUONNY!B242,BUONNY!B2:D262,3,1)</f>
        <v>46323</v>
      </c>
      <c r="L73" s="33" t="str">
        <f t="shared" ca="1" si="3"/>
        <v>ADEQUADO AO RISCO</v>
      </c>
    </row>
    <row r="74" spans="1:12" ht="16.2" thickBot="1" x14ac:dyDescent="0.35">
      <c r="A74" s="29">
        <v>74</v>
      </c>
      <c r="B74" s="53" t="s">
        <v>199</v>
      </c>
      <c r="C74" s="49">
        <v>3137623502</v>
      </c>
      <c r="D74" s="23" t="s">
        <v>142</v>
      </c>
      <c r="E74" s="30" t="s">
        <v>144</v>
      </c>
      <c r="F74" s="24"/>
      <c r="G74" s="23" t="s">
        <v>66</v>
      </c>
      <c r="H74" s="35" t="s">
        <v>67</v>
      </c>
      <c r="I74" s="32" t="s">
        <v>626</v>
      </c>
      <c r="J74" s="32"/>
      <c r="K74" s="33">
        <f>VLOOKUP(BUONNY!B230,BUONNY!B1:D241,3,1)</f>
        <v>46330</v>
      </c>
      <c r="L74" s="33" t="str">
        <f t="shared" ca="1" si="3"/>
        <v>ADEQUADO AO RISCO</v>
      </c>
    </row>
    <row r="75" spans="1:12" ht="16.2" thickBot="1" x14ac:dyDescent="0.35">
      <c r="A75" s="29">
        <v>75</v>
      </c>
      <c r="B75" s="53" t="s">
        <v>212</v>
      </c>
      <c r="C75" s="49">
        <v>28262366875</v>
      </c>
      <c r="D75" s="23" t="s">
        <v>213</v>
      </c>
      <c r="E75" s="30" t="s">
        <v>214</v>
      </c>
      <c r="F75" s="24" t="s">
        <v>324</v>
      </c>
      <c r="G75" s="23" t="s">
        <v>147</v>
      </c>
      <c r="H75" s="35" t="s">
        <v>150</v>
      </c>
      <c r="I75" s="32" t="s">
        <v>153</v>
      </c>
      <c r="J75" s="32"/>
      <c r="K75" s="33">
        <f>VLOOKUP(BUONNY!B231,BUONNY!B2:D242,3,1)</f>
        <v>46061</v>
      </c>
      <c r="L75" s="33" t="str">
        <f t="shared" ca="1" si="3"/>
        <v>DIVERGENTE</v>
      </c>
    </row>
    <row r="76" spans="1:12" ht="16.2" thickBot="1" x14ac:dyDescent="0.35">
      <c r="A76" s="29">
        <v>76</v>
      </c>
      <c r="B76" s="53" t="s">
        <v>463</v>
      </c>
      <c r="C76" s="49"/>
      <c r="D76" s="23" t="s">
        <v>215</v>
      </c>
      <c r="E76" s="30" t="s">
        <v>30</v>
      </c>
      <c r="F76" s="24" t="s">
        <v>325</v>
      </c>
      <c r="G76" s="23" t="s">
        <v>47</v>
      </c>
      <c r="H76" s="35" t="s">
        <v>149</v>
      </c>
      <c r="I76" s="32" t="s">
        <v>310</v>
      </c>
      <c r="J76" s="32"/>
      <c r="K76" s="33">
        <f>VLOOKUP(BUONNY!B232,BUONNY!B3:D243,3,1)</f>
        <v>46155</v>
      </c>
      <c r="L76" s="33" t="str">
        <f t="shared" ca="1" si="3"/>
        <v>DIVERGENTE</v>
      </c>
    </row>
    <row r="77" spans="1:12" ht="16.2" thickBot="1" x14ac:dyDescent="0.35">
      <c r="A77" s="29">
        <v>77</v>
      </c>
      <c r="B77" s="53" t="s">
        <v>217</v>
      </c>
      <c r="C77" s="49" t="s">
        <v>587</v>
      </c>
      <c r="D77" s="23" t="s">
        <v>218</v>
      </c>
      <c r="E77" s="30" t="s">
        <v>30</v>
      </c>
      <c r="F77" s="24" t="s">
        <v>637</v>
      </c>
      <c r="G77" s="23" t="s">
        <v>66</v>
      </c>
      <c r="H77" s="35" t="s">
        <v>149</v>
      </c>
      <c r="I77" s="32" t="s">
        <v>155</v>
      </c>
      <c r="J77" s="32"/>
      <c r="K77" s="33">
        <f>VLOOKUP(BUONNY!B233,BUONNY!B4:D244,3,1)</f>
        <v>46504</v>
      </c>
      <c r="L77" s="33" t="str">
        <f t="shared" ca="1" si="3"/>
        <v>ADEQUADO AO RISCO</v>
      </c>
    </row>
    <row r="78" spans="1:12" ht="16.2" thickBot="1" x14ac:dyDescent="0.35">
      <c r="A78" s="29">
        <v>78</v>
      </c>
      <c r="B78" s="53" t="s">
        <v>219</v>
      </c>
      <c r="C78" s="49" t="s">
        <v>922</v>
      </c>
      <c r="D78" s="23" t="s">
        <v>220</v>
      </c>
      <c r="E78" s="30" t="s">
        <v>30</v>
      </c>
      <c r="F78" s="24" t="s">
        <v>326</v>
      </c>
      <c r="G78" s="23" t="s">
        <v>47</v>
      </c>
      <c r="H78" s="35" t="s">
        <v>149</v>
      </c>
      <c r="I78" s="32" t="s">
        <v>1155</v>
      </c>
      <c r="J78" s="32" t="s">
        <v>1156</v>
      </c>
      <c r="K78" s="33">
        <f>VLOOKUP(BUONNY!B234,BUONNY!B5:D245,3,1)</f>
        <v>46349</v>
      </c>
      <c r="L78" s="33" t="str">
        <f t="shared" ca="1" si="3"/>
        <v>ADEQUADO AO RISCO</v>
      </c>
    </row>
    <row r="79" spans="1:12" ht="16.2" thickBot="1" x14ac:dyDescent="0.35">
      <c r="A79" s="29">
        <v>79</v>
      </c>
      <c r="B79" s="53" t="s">
        <v>221</v>
      </c>
      <c r="C79" s="49" t="s">
        <v>760</v>
      </c>
      <c r="D79" s="23" t="s">
        <v>222</v>
      </c>
      <c r="E79" s="30" t="s">
        <v>30</v>
      </c>
      <c r="F79" s="24" t="s">
        <v>761</v>
      </c>
      <c r="G79" s="23" t="s">
        <v>47</v>
      </c>
      <c r="H79" s="35" t="s">
        <v>149</v>
      </c>
      <c r="I79" s="32" t="s">
        <v>49</v>
      </c>
      <c r="J79" s="32"/>
      <c r="K79" s="33">
        <f>VLOOKUP(BUONNY!B235,BUONNY!B6:D246,3,1)</f>
        <v>45589</v>
      </c>
      <c r="L79" s="33" t="str">
        <f t="shared" ca="1" si="3"/>
        <v>DIVERGENTE</v>
      </c>
    </row>
    <row r="80" spans="1:12" ht="16.2" thickBot="1" x14ac:dyDescent="0.35">
      <c r="A80" s="29">
        <v>80</v>
      </c>
      <c r="B80" s="53" t="s">
        <v>427</v>
      </c>
      <c r="C80" s="49"/>
      <c r="D80" s="23" t="s">
        <v>226</v>
      </c>
      <c r="E80" s="23" t="s">
        <v>529</v>
      </c>
      <c r="F80" s="31"/>
      <c r="G80" s="23" t="s">
        <v>147</v>
      </c>
      <c r="H80" s="35" t="s">
        <v>150</v>
      </c>
      <c r="I80" s="32" t="s">
        <v>153</v>
      </c>
      <c r="J80" s="32"/>
      <c r="K80" s="33">
        <f>VLOOKUP(BUONNY!B236,BUONNY!B7:D247,3,1)</f>
        <v>46054</v>
      </c>
      <c r="L80" s="33" t="str">
        <f t="shared" ca="1" si="3"/>
        <v>DIVERGENTE</v>
      </c>
    </row>
    <row r="81" spans="1:12" ht="16.2" thickBot="1" x14ac:dyDescent="0.35">
      <c r="A81" s="29">
        <v>81</v>
      </c>
      <c r="B81" s="53" t="s">
        <v>227</v>
      </c>
      <c r="C81" s="49">
        <v>15763655737</v>
      </c>
      <c r="D81" s="23" t="s">
        <v>228</v>
      </c>
      <c r="E81" s="23" t="s">
        <v>229</v>
      </c>
      <c r="F81" s="24" t="s">
        <v>695</v>
      </c>
      <c r="G81" s="23" t="s">
        <v>147</v>
      </c>
      <c r="H81" s="35" t="s">
        <v>150</v>
      </c>
      <c r="I81" s="32" t="s">
        <v>153</v>
      </c>
      <c r="J81" s="32"/>
      <c r="K81" s="33">
        <f>VLOOKUP(BUONNY!B237,BUONNY!B8:D248,3,1)</f>
        <v>46280</v>
      </c>
      <c r="L81" s="33" t="str">
        <f t="shared" ca="1" si="3"/>
        <v>ADEQUADO AO RISCO</v>
      </c>
    </row>
    <row r="82" spans="1:12" ht="16.2" thickBot="1" x14ac:dyDescent="0.35">
      <c r="A82" s="29">
        <v>82</v>
      </c>
      <c r="B82" s="53" t="s">
        <v>232</v>
      </c>
      <c r="C82" s="49"/>
      <c r="D82" s="23" t="s">
        <v>233</v>
      </c>
      <c r="E82" s="30" t="s">
        <v>30</v>
      </c>
      <c r="F82" s="31"/>
      <c r="G82" s="54">
        <v>46115</v>
      </c>
      <c r="H82" s="35" t="s">
        <v>328</v>
      </c>
      <c r="I82" s="32" t="s">
        <v>329</v>
      </c>
      <c r="J82" s="32"/>
      <c r="K82" s="33">
        <f>VLOOKUP(BUONNY!B238,BUONNY!B9:D249,3,1)</f>
        <v>46155</v>
      </c>
      <c r="L82" s="33" t="str">
        <f t="shared" ca="1" si="3"/>
        <v>DIVERGENTE</v>
      </c>
    </row>
    <row r="83" spans="1:12" ht="16.2" thickBot="1" x14ac:dyDescent="0.35">
      <c r="A83" s="29">
        <v>83</v>
      </c>
      <c r="B83" s="53" t="s">
        <v>235</v>
      </c>
      <c r="C83" s="49">
        <v>5345559503</v>
      </c>
      <c r="D83" s="23" t="s">
        <v>236</v>
      </c>
      <c r="E83" s="30" t="s">
        <v>30</v>
      </c>
      <c r="F83" s="24" t="s">
        <v>314</v>
      </c>
      <c r="G83" s="55" t="s">
        <v>72</v>
      </c>
      <c r="H83" s="35" t="s">
        <v>312</v>
      </c>
      <c r="I83" s="32" t="s">
        <v>313</v>
      </c>
      <c r="J83" s="32"/>
      <c r="K83" s="33">
        <f>VLOOKUP(BUONNY!B239,BUONNY!B10:D250,3,1)</f>
        <v>46284</v>
      </c>
      <c r="L83" s="33" t="str">
        <f t="shared" ca="1" si="3"/>
        <v>ADEQUADO AO RISCO</v>
      </c>
    </row>
    <row r="84" spans="1:12" ht="16.2" thickBot="1" x14ac:dyDescent="0.35">
      <c r="A84" s="29">
        <v>84</v>
      </c>
      <c r="B84" s="53" t="s">
        <v>403</v>
      </c>
      <c r="C84" s="49">
        <v>89225465572</v>
      </c>
      <c r="D84" s="23" t="s">
        <v>238</v>
      </c>
      <c r="E84" s="30" t="s">
        <v>239</v>
      </c>
      <c r="F84" s="24" t="s">
        <v>316</v>
      </c>
      <c r="G84" s="55" t="s">
        <v>147</v>
      </c>
      <c r="H84" s="31" t="s">
        <v>150</v>
      </c>
      <c r="I84" s="32" t="s">
        <v>153</v>
      </c>
      <c r="J84" s="32"/>
      <c r="K84" s="33">
        <f>VLOOKUP(BUONNY!B240,BUONNY!B11:D251,3,1)</f>
        <v>46155</v>
      </c>
      <c r="L84" s="33" t="str">
        <f t="shared" ca="1" si="3"/>
        <v>DIVERGENTE</v>
      </c>
    </row>
    <row r="85" spans="1:12" ht="16.2" thickBot="1" x14ac:dyDescent="0.35">
      <c r="A85" s="29">
        <v>85</v>
      </c>
      <c r="B85" s="30" t="s">
        <v>263</v>
      </c>
      <c r="C85" s="55">
        <v>3174464528</v>
      </c>
      <c r="D85" s="55" t="s">
        <v>264</v>
      </c>
      <c r="E85" s="55" t="s">
        <v>39</v>
      </c>
      <c r="F85" s="25" t="s">
        <v>315</v>
      </c>
      <c r="G85" s="55" t="s">
        <v>66</v>
      </c>
      <c r="H85" s="56" t="s">
        <v>149</v>
      </c>
      <c r="I85" s="57" t="s">
        <v>155</v>
      </c>
      <c r="J85" s="57"/>
      <c r="K85" s="33">
        <f>VLOOKUP(BUONNY!B241,BUONNY!B12:D252,3,1)</f>
        <v>46155</v>
      </c>
      <c r="L85" s="33" t="str">
        <f t="shared" ca="1" si="3"/>
        <v>DIVERGENTE</v>
      </c>
    </row>
    <row r="86" spans="1:12" ht="16.2" thickBot="1" x14ac:dyDescent="0.35">
      <c r="A86" s="29">
        <v>86</v>
      </c>
      <c r="B86" s="30" t="s">
        <v>452</v>
      </c>
      <c r="C86" s="55">
        <v>6262143513</v>
      </c>
      <c r="D86" s="55" t="s">
        <v>269</v>
      </c>
      <c r="E86" s="55" t="s">
        <v>271</v>
      </c>
      <c r="F86" s="25" t="s">
        <v>317</v>
      </c>
      <c r="G86" s="55" t="s">
        <v>147</v>
      </c>
      <c r="H86" s="31" t="s">
        <v>150</v>
      </c>
      <c r="I86" s="32" t="s">
        <v>153</v>
      </c>
      <c r="J86" s="57"/>
      <c r="K86" s="33">
        <f>VLOOKUP(BUONNY!B91,BUONNY!B1:D241,3,1)</f>
        <v>46085</v>
      </c>
      <c r="L86" s="33" t="str">
        <f t="shared" ca="1" si="3"/>
        <v>DIVERGENTE</v>
      </c>
    </row>
    <row r="87" spans="1:12" ht="16.2" thickBot="1" x14ac:dyDescent="0.35">
      <c r="A87" s="29">
        <v>87</v>
      </c>
      <c r="B87" s="30" t="s">
        <v>270</v>
      </c>
      <c r="C87" s="55">
        <v>5533835580</v>
      </c>
      <c r="D87" s="55" t="s">
        <v>638</v>
      </c>
      <c r="E87" s="55" t="s">
        <v>39</v>
      </c>
      <c r="F87" s="25" t="s">
        <v>639</v>
      </c>
      <c r="G87" s="55" t="s">
        <v>66</v>
      </c>
      <c r="H87" s="31" t="s">
        <v>319</v>
      </c>
      <c r="I87" s="32" t="s">
        <v>640</v>
      </c>
      <c r="J87" s="57" t="s">
        <v>593</v>
      </c>
      <c r="K87" s="33">
        <f>VLOOKUP(BUONNY!B92,BUONNY!B2:D242,3,1)</f>
        <v>46191</v>
      </c>
      <c r="L87" s="33" t="str">
        <f t="shared" ca="1" si="3"/>
        <v>DIVERGENTE</v>
      </c>
    </row>
    <row r="88" spans="1:12" ht="16.2" thickBot="1" x14ac:dyDescent="0.35">
      <c r="A88" s="29">
        <v>88</v>
      </c>
      <c r="B88" s="49" t="s">
        <v>507</v>
      </c>
      <c r="C88" s="55">
        <v>1680600516</v>
      </c>
      <c r="D88" s="31" t="s">
        <v>332</v>
      </c>
      <c r="E88" s="30" t="s">
        <v>144</v>
      </c>
      <c r="F88" s="24"/>
      <c r="G88" s="31" t="s">
        <v>145</v>
      </c>
      <c r="H88" s="31" t="s">
        <v>53</v>
      </c>
      <c r="I88" s="45" t="s">
        <v>329</v>
      </c>
      <c r="J88" s="32" t="s">
        <v>334</v>
      </c>
      <c r="K88" s="33">
        <f>VLOOKUP(BUONNY!B93,BUONNY!B3:D243,3,1)</f>
        <v>46155</v>
      </c>
      <c r="L88" s="33" t="str">
        <f t="shared" ca="1" si="3"/>
        <v>DIVERGENTE</v>
      </c>
    </row>
    <row r="89" spans="1:12" ht="16.2" thickBot="1" x14ac:dyDescent="0.35">
      <c r="A89" s="29">
        <v>89</v>
      </c>
      <c r="B89" s="49" t="s">
        <v>532</v>
      </c>
      <c r="C89" s="55">
        <v>72560100525</v>
      </c>
      <c r="D89" s="31" t="s">
        <v>816</v>
      </c>
      <c r="E89" s="30" t="s">
        <v>534</v>
      </c>
      <c r="F89" s="24" t="s">
        <v>538</v>
      </c>
      <c r="G89" s="31" t="s">
        <v>147</v>
      </c>
      <c r="H89" s="31" t="s">
        <v>167</v>
      </c>
      <c r="I89" s="45" t="s">
        <v>536</v>
      </c>
      <c r="J89" s="32" t="s">
        <v>266</v>
      </c>
      <c r="K89" s="33">
        <f>VLOOKUP(BUONNY!B94,BUONNY!B4:D244,3,1)</f>
        <v>46155</v>
      </c>
      <c r="L89" s="33" t="str">
        <f t="shared" ca="1" si="3"/>
        <v>DIVERGENTE</v>
      </c>
    </row>
    <row r="90" spans="1:12" ht="16.2" thickBot="1" x14ac:dyDescent="0.35">
      <c r="A90" s="29">
        <v>90</v>
      </c>
      <c r="B90" s="49" t="s">
        <v>535</v>
      </c>
      <c r="C90" s="55">
        <v>1127978578</v>
      </c>
      <c r="D90" s="31" t="s">
        <v>936</v>
      </c>
      <c r="E90" s="31" t="s">
        <v>537</v>
      </c>
      <c r="F90" s="24" t="s">
        <v>539</v>
      </c>
      <c r="G90" s="31" t="s">
        <v>147</v>
      </c>
      <c r="H90" s="31" t="s">
        <v>167</v>
      </c>
      <c r="I90" s="45" t="s">
        <v>536</v>
      </c>
      <c r="J90" s="32" t="s">
        <v>533</v>
      </c>
      <c r="K90" s="33">
        <f>VLOOKUP(BUONNY!B95,BUONNY!B5:D245,3,1)</f>
        <v>46389</v>
      </c>
      <c r="L90" s="33" t="str">
        <f t="shared" ca="1" si="3"/>
        <v>ADEQUADO AO RISCO</v>
      </c>
    </row>
    <row r="91" spans="1:12" ht="16.2" thickBot="1" x14ac:dyDescent="0.35">
      <c r="A91" s="29">
        <v>91</v>
      </c>
      <c r="B91" s="49" t="s">
        <v>543</v>
      </c>
      <c r="C91" s="55">
        <v>93970676568</v>
      </c>
      <c r="D91" s="31" t="s">
        <v>542</v>
      </c>
      <c r="E91" s="31" t="s">
        <v>30</v>
      </c>
      <c r="F91" s="24" t="s">
        <v>540</v>
      </c>
      <c r="G91" s="31">
        <v>0.75</v>
      </c>
      <c r="H91" s="31" t="s">
        <v>118</v>
      </c>
      <c r="I91" s="45" t="s">
        <v>541</v>
      </c>
      <c r="J91" s="32" t="s">
        <v>334</v>
      </c>
      <c r="K91" s="33">
        <f>VLOOKUP(BUONNY!B96,BUONNY!B6:D246,3,1)</f>
        <v>46185</v>
      </c>
      <c r="L91" s="33" t="str">
        <f t="shared" ca="1" si="3"/>
        <v>DIVERGENTE</v>
      </c>
    </row>
    <row r="92" spans="1:12" ht="16.2" thickBot="1" x14ac:dyDescent="0.35">
      <c r="A92" s="29">
        <v>92</v>
      </c>
      <c r="B92" s="49" t="s">
        <v>392</v>
      </c>
      <c r="C92" s="55">
        <v>65067738553</v>
      </c>
      <c r="D92" s="31"/>
      <c r="E92" s="31" t="s">
        <v>30</v>
      </c>
      <c r="F92" s="24" t="s">
        <v>545</v>
      </c>
      <c r="G92" s="31" t="s">
        <v>66</v>
      </c>
      <c r="H92" s="31" t="s">
        <v>319</v>
      </c>
      <c r="I92" s="45" t="s">
        <v>544</v>
      </c>
      <c r="J92" s="32" t="s">
        <v>152</v>
      </c>
      <c r="K92" s="33">
        <f>VLOOKUP(BUONNY!B97,BUONNY!B7:D247,3,1)</f>
        <v>46278</v>
      </c>
      <c r="L92" s="33" t="str">
        <f t="shared" ca="1" si="3"/>
        <v>ADEQUADO AO RISCO</v>
      </c>
    </row>
    <row r="93" spans="1:12" ht="16.2" thickBot="1" x14ac:dyDescent="0.35">
      <c r="A93" s="29">
        <v>93</v>
      </c>
      <c r="B93" s="49" t="s">
        <v>553</v>
      </c>
      <c r="C93" s="55">
        <v>4852033595</v>
      </c>
      <c r="D93" s="31" t="s">
        <v>551</v>
      </c>
      <c r="E93" s="31" t="s">
        <v>39</v>
      </c>
      <c r="F93" s="24" t="s">
        <v>552</v>
      </c>
      <c r="G93" s="31" t="s">
        <v>32</v>
      </c>
      <c r="H93" s="31" t="s">
        <v>554</v>
      </c>
      <c r="I93" s="45" t="s">
        <v>61</v>
      </c>
      <c r="J93" s="32" t="s">
        <v>555</v>
      </c>
      <c r="K93" s="33">
        <f>VLOOKUP(BUONNY!B98,BUONNY!B8:D248,3,1)</f>
        <v>46155</v>
      </c>
      <c r="L93" s="33" t="str">
        <f t="shared" ca="1" si="3"/>
        <v>DIVERGENTE</v>
      </c>
    </row>
    <row r="94" spans="1:12" ht="16.2" thickBot="1" x14ac:dyDescent="0.35">
      <c r="A94" s="29">
        <v>94</v>
      </c>
      <c r="B94" s="49" t="s">
        <v>557</v>
      </c>
      <c r="C94" s="55">
        <v>94575355020</v>
      </c>
      <c r="D94" s="31" t="s">
        <v>556</v>
      </c>
      <c r="E94" s="31" t="s">
        <v>39</v>
      </c>
      <c r="F94" s="24" t="s">
        <v>558</v>
      </c>
      <c r="G94" s="31" t="s">
        <v>147</v>
      </c>
      <c r="H94" s="31" t="s">
        <v>150</v>
      </c>
      <c r="I94" s="45" t="s">
        <v>153</v>
      </c>
      <c r="J94" s="32" t="s">
        <v>533</v>
      </c>
      <c r="K94" s="33">
        <f>VLOOKUP(BUONNY!B99,BUONNY!B9:D249,3,1)</f>
        <v>46155</v>
      </c>
      <c r="L94" s="33" t="str">
        <f t="shared" ca="1" si="3"/>
        <v>DIVERGENTE</v>
      </c>
    </row>
    <row r="95" spans="1:12" ht="16.2" thickBot="1" x14ac:dyDescent="0.35">
      <c r="A95" s="29">
        <v>95</v>
      </c>
      <c r="B95" s="49" t="s">
        <v>560</v>
      </c>
      <c r="C95" s="55">
        <v>3859759612</v>
      </c>
      <c r="D95" s="31" t="s">
        <v>559</v>
      </c>
      <c r="E95" s="31" t="s">
        <v>561</v>
      </c>
      <c r="F95" s="24" t="s">
        <v>562</v>
      </c>
      <c r="G95" s="31" t="s">
        <v>147</v>
      </c>
      <c r="H95" s="31" t="s">
        <v>167</v>
      </c>
      <c r="I95" s="45" t="s">
        <v>617</v>
      </c>
      <c r="J95" s="32" t="s">
        <v>533</v>
      </c>
      <c r="K95" s="33">
        <f>VLOOKUP(BUONNY!B100,BUONNY!B10:D250,3,1)</f>
        <v>46389</v>
      </c>
      <c r="L95" s="33" t="str">
        <f t="shared" ca="1" si="3"/>
        <v>ADEQUADO AO RISCO</v>
      </c>
    </row>
    <row r="96" spans="1:12" ht="16.2" thickBot="1" x14ac:dyDescent="0.35">
      <c r="A96" s="29">
        <v>96</v>
      </c>
      <c r="B96" s="49" t="s">
        <v>567</v>
      </c>
      <c r="C96" s="55">
        <v>89274725515</v>
      </c>
      <c r="D96" s="31" t="s">
        <v>568</v>
      </c>
      <c r="E96" s="31" t="s">
        <v>39</v>
      </c>
      <c r="F96" s="24" t="s">
        <v>571</v>
      </c>
      <c r="G96" s="31" t="s">
        <v>47</v>
      </c>
      <c r="H96" s="56" t="s">
        <v>149</v>
      </c>
      <c r="I96" s="45" t="s">
        <v>569</v>
      </c>
      <c r="J96" s="32" t="s">
        <v>570</v>
      </c>
      <c r="K96" s="33">
        <f>VLOOKUP(BUONNY!B101,BUONNY!B11:D251,3,1)</f>
        <v>45975</v>
      </c>
      <c r="L96" s="33" t="str">
        <f t="shared" ca="1" si="3"/>
        <v>DIVERGENTE</v>
      </c>
    </row>
    <row r="97" spans="1:12" ht="16.2" thickBot="1" x14ac:dyDescent="0.35">
      <c r="A97" s="29">
        <v>97</v>
      </c>
      <c r="B97" s="49" t="s">
        <v>573</v>
      </c>
      <c r="C97" s="55" t="s">
        <v>574</v>
      </c>
      <c r="D97" s="31" t="s">
        <v>576</v>
      </c>
      <c r="E97" s="31" t="s">
        <v>575</v>
      </c>
      <c r="F97" s="24" t="s">
        <v>578</v>
      </c>
      <c r="G97" s="31" t="s">
        <v>147</v>
      </c>
      <c r="H97" s="56" t="s">
        <v>167</v>
      </c>
      <c r="I97" s="45" t="s">
        <v>577</v>
      </c>
      <c r="J97" s="32" t="s">
        <v>533</v>
      </c>
      <c r="K97" s="33">
        <f>VLOOKUP(BUONNY!B102,BUONNY!B12:D252,3,1)</f>
        <v>46155</v>
      </c>
      <c r="L97" s="33" t="str">
        <f t="shared" ca="1" si="3"/>
        <v>DIVERGENTE</v>
      </c>
    </row>
    <row r="98" spans="1:12" ht="16.2" thickBot="1" x14ac:dyDescent="0.35">
      <c r="A98" s="29">
        <v>98</v>
      </c>
      <c r="B98" s="49" t="s">
        <v>584</v>
      </c>
      <c r="C98" s="55" t="s">
        <v>581</v>
      </c>
      <c r="D98" s="31" t="s">
        <v>582</v>
      </c>
      <c r="E98" s="31" t="s">
        <v>583</v>
      </c>
      <c r="F98" s="24" t="s">
        <v>578</v>
      </c>
      <c r="G98" s="31" t="s">
        <v>147</v>
      </c>
      <c r="H98" s="56" t="s">
        <v>167</v>
      </c>
      <c r="I98" s="45" t="s">
        <v>579</v>
      </c>
      <c r="J98" s="32" t="s">
        <v>580</v>
      </c>
      <c r="K98" s="33">
        <f>VLOOKUP(BUONNY!B103,BUONNY!B13:D253,3,1)</f>
        <v>46086</v>
      </c>
      <c r="L98" s="33" t="str">
        <f t="shared" ca="1" si="3"/>
        <v>DIVERGENTE</v>
      </c>
    </row>
    <row r="99" spans="1:12" ht="16.2" thickBot="1" x14ac:dyDescent="0.35">
      <c r="A99" s="29">
        <v>99</v>
      </c>
      <c r="B99" s="30" t="s">
        <v>613</v>
      </c>
      <c r="C99" s="55"/>
      <c r="D99" s="31" t="s">
        <v>588</v>
      </c>
      <c r="E99" s="31" t="s">
        <v>30</v>
      </c>
      <c r="F99" s="24"/>
      <c r="G99" s="31" t="s">
        <v>43</v>
      </c>
      <c r="H99" s="56" t="s">
        <v>589</v>
      </c>
      <c r="I99" s="45" t="s">
        <v>590</v>
      </c>
      <c r="J99" s="32" t="s">
        <v>35</v>
      </c>
      <c r="K99" s="33">
        <f>VLOOKUP(BUONNY!B104,BUONNY!B14:D254,3,1)</f>
        <v>46155</v>
      </c>
      <c r="L99" s="33" t="str">
        <f t="shared" ca="1" si="3"/>
        <v>DIVERGENTE</v>
      </c>
    </row>
    <row r="100" spans="1:12" ht="16.2" thickBot="1" x14ac:dyDescent="0.35">
      <c r="A100" s="29">
        <v>100</v>
      </c>
      <c r="B100" s="49" t="s">
        <v>457</v>
      </c>
      <c r="C100" s="55" t="s">
        <v>592</v>
      </c>
      <c r="D100" s="31" t="s">
        <v>591</v>
      </c>
      <c r="E100" s="31" t="s">
        <v>30</v>
      </c>
      <c r="F100" s="24" t="s">
        <v>599</v>
      </c>
      <c r="G100" s="31" t="s">
        <v>66</v>
      </c>
      <c r="H100" s="56" t="s">
        <v>67</v>
      </c>
      <c r="I100" s="45" t="s">
        <v>294</v>
      </c>
      <c r="J100" s="32" t="s">
        <v>593</v>
      </c>
      <c r="K100" s="33">
        <f>VLOOKUP(BUONNY!B105,BUONNY!B15:D255,3,1)</f>
        <v>46159</v>
      </c>
      <c r="L100" s="33" t="str">
        <f t="shared" ca="1" si="3"/>
        <v>DIVERGENTE</v>
      </c>
    </row>
    <row r="101" spans="1:12" ht="16.2" thickBot="1" x14ac:dyDescent="0.35">
      <c r="A101" s="29">
        <v>101</v>
      </c>
      <c r="B101" s="49" t="s">
        <v>594</v>
      </c>
      <c r="C101" s="55" t="s">
        <v>595</v>
      </c>
      <c r="D101" s="31" t="s">
        <v>596</v>
      </c>
      <c r="E101" s="31" t="s">
        <v>30</v>
      </c>
      <c r="F101" s="24" t="s">
        <v>598</v>
      </c>
      <c r="G101" s="31" t="s">
        <v>47</v>
      </c>
      <c r="H101" s="56" t="s">
        <v>48</v>
      </c>
      <c r="I101" s="45" t="s">
        <v>155</v>
      </c>
      <c r="J101" s="32" t="s">
        <v>597</v>
      </c>
      <c r="K101" s="33">
        <f>VLOOKUP(BUONNY!B106,BUONNY!B16:D256,3,1)</f>
        <v>46155</v>
      </c>
      <c r="L101" s="33" t="str">
        <f t="shared" ca="1" si="3"/>
        <v>DIVERGENTE</v>
      </c>
    </row>
    <row r="102" spans="1:12" ht="16.2" thickBot="1" x14ac:dyDescent="0.35">
      <c r="A102" s="29">
        <v>102</v>
      </c>
      <c r="B102" s="49" t="s">
        <v>602</v>
      </c>
      <c r="C102" s="55" t="s">
        <v>603</v>
      </c>
      <c r="D102" s="31" t="s">
        <v>604</v>
      </c>
      <c r="E102" s="31" t="s">
        <v>39</v>
      </c>
      <c r="F102" s="24" t="s">
        <v>605</v>
      </c>
      <c r="G102" s="31" t="s">
        <v>72</v>
      </c>
      <c r="H102" s="56" t="s">
        <v>589</v>
      </c>
      <c r="I102" s="32" t="s">
        <v>313</v>
      </c>
      <c r="J102" s="32" t="s">
        <v>75</v>
      </c>
      <c r="K102" s="33">
        <f>VLOOKUP(BUONNY!B107,BUONNY!B17:D257,3,1)</f>
        <v>45986</v>
      </c>
      <c r="L102" s="33" t="str">
        <f t="shared" ca="1" si="3"/>
        <v>DIVERGENTE</v>
      </c>
    </row>
    <row r="103" spans="1:12" ht="16.2" thickBot="1" x14ac:dyDescent="0.35">
      <c r="A103" s="29">
        <v>103</v>
      </c>
      <c r="B103" s="49" t="s">
        <v>619</v>
      </c>
      <c r="C103" s="55"/>
      <c r="D103" s="31"/>
      <c r="E103" s="31" t="s">
        <v>39</v>
      </c>
      <c r="F103" s="24" t="s">
        <v>620</v>
      </c>
      <c r="G103" s="31" t="s">
        <v>66</v>
      </c>
      <c r="H103" s="56" t="s">
        <v>621</v>
      </c>
      <c r="I103" s="32" t="s">
        <v>294</v>
      </c>
      <c r="J103" s="32" t="s">
        <v>152</v>
      </c>
      <c r="K103" s="33">
        <f>VLOOKUP(BUONNY!B108,BUONNY!B18:D258,3,1)</f>
        <v>46141</v>
      </c>
      <c r="L103" s="33" t="str">
        <f t="shared" ca="1" si="3"/>
        <v>DIVERGENTE</v>
      </c>
    </row>
    <row r="104" spans="1:12" ht="16.2" thickBot="1" x14ac:dyDescent="0.35">
      <c r="A104" s="29">
        <v>104</v>
      </c>
      <c r="B104" s="49" t="s">
        <v>622</v>
      </c>
      <c r="C104" s="55" t="s">
        <v>623</v>
      </c>
      <c r="D104" s="31" t="s">
        <v>627</v>
      </c>
      <c r="E104" s="31" t="s">
        <v>39</v>
      </c>
      <c r="F104" s="24" t="s">
        <v>624</v>
      </c>
      <c r="G104" s="31" t="s">
        <v>66</v>
      </c>
      <c r="H104" s="56" t="s">
        <v>148</v>
      </c>
      <c r="I104" s="32" t="s">
        <v>625</v>
      </c>
      <c r="J104" s="32" t="s">
        <v>152</v>
      </c>
      <c r="K104" s="33">
        <f>VLOOKUP(BUONNY!B109,BUONNY!B19:D259,3,1)</f>
        <v>46155</v>
      </c>
      <c r="L104" s="33" t="str">
        <f t="shared" ca="1" si="3"/>
        <v>DIVERGENTE</v>
      </c>
    </row>
    <row r="105" spans="1:12" ht="16.2" thickBot="1" x14ac:dyDescent="0.35">
      <c r="A105" s="29">
        <v>105</v>
      </c>
      <c r="B105" s="49" t="s">
        <v>628</v>
      </c>
      <c r="C105" s="55" t="s">
        <v>629</v>
      </c>
      <c r="D105" s="31" t="s">
        <v>630</v>
      </c>
      <c r="E105" s="31" t="s">
        <v>631</v>
      </c>
      <c r="F105" s="24" t="s">
        <v>632</v>
      </c>
      <c r="G105" s="31" t="s">
        <v>147</v>
      </c>
      <c r="H105" s="56" t="s">
        <v>167</v>
      </c>
      <c r="I105" s="32" t="s">
        <v>536</v>
      </c>
      <c r="J105" s="32" t="s">
        <v>633</v>
      </c>
      <c r="K105" s="33">
        <f>VLOOKUP(BUONNY!B110,BUONNY!B20:D260,3,1)</f>
        <v>46155</v>
      </c>
      <c r="L105" s="33" t="str">
        <f t="shared" ca="1" si="3"/>
        <v>DIVERGENTE</v>
      </c>
    </row>
    <row r="106" spans="1:12" ht="16.2" thickBot="1" x14ac:dyDescent="0.35">
      <c r="A106" s="29">
        <v>106</v>
      </c>
      <c r="B106" s="49" t="s">
        <v>641</v>
      </c>
      <c r="C106" s="55" t="s">
        <v>642</v>
      </c>
      <c r="D106" s="31" t="s">
        <v>643</v>
      </c>
      <c r="E106" s="31" t="s">
        <v>644</v>
      </c>
      <c r="F106" s="24"/>
      <c r="G106" s="31" t="s">
        <v>147</v>
      </c>
      <c r="H106" s="56" t="s">
        <v>150</v>
      </c>
      <c r="I106" s="32" t="s">
        <v>153</v>
      </c>
      <c r="J106" s="32" t="s">
        <v>645</v>
      </c>
      <c r="K106" s="33">
        <f>VLOOKUP(BUONNY!B111,BUONNY!B21:D261,3,1)</f>
        <v>46103</v>
      </c>
      <c r="L106" s="33" t="str">
        <f t="shared" ca="1" si="3"/>
        <v>DIVERGENTE</v>
      </c>
    </row>
    <row r="107" spans="1:12" ht="16.2" thickBot="1" x14ac:dyDescent="0.35">
      <c r="A107" s="29">
        <v>107</v>
      </c>
      <c r="B107" s="49" t="s">
        <v>646</v>
      </c>
      <c r="C107" s="55" t="s">
        <v>647</v>
      </c>
      <c r="D107" s="31" t="s">
        <v>648</v>
      </c>
      <c r="E107" s="31" t="s">
        <v>649</v>
      </c>
      <c r="F107" s="24" t="s">
        <v>660</v>
      </c>
      <c r="G107" s="31" t="s">
        <v>147</v>
      </c>
      <c r="H107" s="56" t="s">
        <v>150</v>
      </c>
      <c r="I107" s="32" t="s">
        <v>536</v>
      </c>
      <c r="J107" s="32" t="s">
        <v>533</v>
      </c>
      <c r="K107" s="33">
        <f>VLOOKUP(BUONNY!B112,BUONNY!B22:D262,3,1)</f>
        <v>46323</v>
      </c>
      <c r="L107" s="33" t="str">
        <f t="shared" ca="1" si="3"/>
        <v>ADEQUADO AO RISCO</v>
      </c>
    </row>
    <row r="108" spans="1:12" ht="16.2" thickBot="1" x14ac:dyDescent="0.35">
      <c r="A108" s="29">
        <v>108</v>
      </c>
      <c r="B108" s="49" t="s">
        <v>650</v>
      </c>
      <c r="C108" s="55" t="s">
        <v>651</v>
      </c>
      <c r="D108" s="31" t="s">
        <v>652</v>
      </c>
      <c r="E108" s="31" t="s">
        <v>653</v>
      </c>
      <c r="F108" s="24" t="s">
        <v>654</v>
      </c>
      <c r="G108" s="31" t="s">
        <v>147</v>
      </c>
      <c r="H108" s="56" t="s">
        <v>150</v>
      </c>
      <c r="I108" s="32" t="s">
        <v>153</v>
      </c>
      <c r="J108" s="32" t="s">
        <v>533</v>
      </c>
      <c r="K108" s="33">
        <f>VLOOKUP(BUONNY!B113,BUONNY!B23:D263,3,1)</f>
        <v>46155</v>
      </c>
      <c r="L108" s="33" t="str">
        <f t="shared" ca="1" si="3"/>
        <v>DIVERGENTE</v>
      </c>
    </row>
    <row r="109" spans="1:12" ht="16.2" thickBot="1" x14ac:dyDescent="0.35">
      <c r="A109" s="29">
        <v>109</v>
      </c>
      <c r="B109" s="49" t="s">
        <v>659</v>
      </c>
      <c r="C109" s="55" t="s">
        <v>655</v>
      </c>
      <c r="D109" s="55" t="s">
        <v>656</v>
      </c>
      <c r="E109" s="55" t="s">
        <v>657</v>
      </c>
      <c r="F109" s="24" t="s">
        <v>658</v>
      </c>
      <c r="G109" s="31" t="s">
        <v>147</v>
      </c>
      <c r="H109" s="56" t="s">
        <v>150</v>
      </c>
      <c r="I109" s="32" t="s">
        <v>153</v>
      </c>
      <c r="J109" s="32" t="s">
        <v>533</v>
      </c>
      <c r="K109" s="33">
        <f>VLOOKUP(BUONNY!B114,BUONNY!B24:D264,3,1)</f>
        <v>46319</v>
      </c>
      <c r="L109" s="33" t="str">
        <f t="shared" ca="1" si="3"/>
        <v>ADEQUADO AO RISCO</v>
      </c>
    </row>
    <row r="110" spans="1:12" ht="16.2" thickBot="1" x14ac:dyDescent="0.35">
      <c r="A110" s="29">
        <v>110</v>
      </c>
      <c r="B110" s="49" t="s">
        <v>661</v>
      </c>
      <c r="C110" s="55" t="s">
        <v>662</v>
      </c>
      <c r="D110" s="55" t="s">
        <v>663</v>
      </c>
      <c r="E110" s="55" t="s">
        <v>39</v>
      </c>
      <c r="F110" s="24" t="s">
        <v>664</v>
      </c>
      <c r="G110" s="31" t="s">
        <v>66</v>
      </c>
      <c r="H110" s="56" t="s">
        <v>319</v>
      </c>
      <c r="I110" s="32" t="s">
        <v>294</v>
      </c>
      <c r="J110" s="32" t="s">
        <v>152</v>
      </c>
      <c r="K110" s="33">
        <f>VLOOKUP(BUONNY!B115,BUONNY!B25:D265,3,1)</f>
        <v>46188</v>
      </c>
      <c r="L110" s="33" t="str">
        <f t="shared" ca="1" si="3"/>
        <v>DIVERGENTE</v>
      </c>
    </row>
    <row r="111" spans="1:12" ht="16.2" thickBot="1" x14ac:dyDescent="0.35">
      <c r="A111" s="29">
        <v>111</v>
      </c>
      <c r="B111" s="49" t="s">
        <v>665</v>
      </c>
      <c r="C111" s="55" t="s">
        <v>666</v>
      </c>
      <c r="D111" s="55" t="s">
        <v>667</v>
      </c>
      <c r="E111" s="55" t="s">
        <v>39</v>
      </c>
      <c r="F111" s="24" t="s">
        <v>668</v>
      </c>
      <c r="G111" s="31" t="s">
        <v>66</v>
      </c>
      <c r="H111" s="56" t="s">
        <v>621</v>
      </c>
      <c r="I111" s="32" t="s">
        <v>68</v>
      </c>
      <c r="J111" s="32" t="s">
        <v>266</v>
      </c>
      <c r="K111" s="33">
        <f>VLOOKUP(BUONNY!B116,BUONNY!B26:D266,3,1)</f>
        <v>46323</v>
      </c>
      <c r="L111" s="33" t="str">
        <f t="shared" ca="1" si="3"/>
        <v>ADEQUADO AO RISCO</v>
      </c>
    </row>
    <row r="112" spans="1:12" ht="16.2" thickBot="1" x14ac:dyDescent="0.35">
      <c r="A112" s="29">
        <v>112</v>
      </c>
      <c r="B112" s="49" t="s">
        <v>669</v>
      </c>
      <c r="C112" s="55" t="s">
        <v>670</v>
      </c>
      <c r="D112" s="55" t="s">
        <v>671</v>
      </c>
      <c r="E112" s="55" t="s">
        <v>39</v>
      </c>
      <c r="F112" s="24" t="s">
        <v>672</v>
      </c>
      <c r="G112" s="31" t="s">
        <v>72</v>
      </c>
      <c r="H112" s="56" t="s">
        <v>589</v>
      </c>
      <c r="I112" s="32" t="s">
        <v>313</v>
      </c>
      <c r="J112" s="32" t="s">
        <v>75</v>
      </c>
      <c r="K112" s="33">
        <f>VLOOKUP(BUONNY!B117,BUONNY!B27:D267,3,1)</f>
        <v>46056</v>
      </c>
      <c r="L112" s="33" t="str">
        <f t="shared" ca="1" si="3"/>
        <v>DIVERGENTE</v>
      </c>
    </row>
    <row r="113" spans="1:12" ht="16.2" thickBot="1" x14ac:dyDescent="0.35">
      <c r="A113" s="29">
        <v>113</v>
      </c>
      <c r="B113" s="49" t="s">
        <v>608</v>
      </c>
      <c r="C113" s="55" t="s">
        <v>673</v>
      </c>
      <c r="D113" s="55" t="s">
        <v>674</v>
      </c>
      <c r="E113" s="55" t="s">
        <v>39</v>
      </c>
      <c r="F113" s="24" t="s">
        <v>676</v>
      </c>
      <c r="G113" s="31">
        <v>0.75</v>
      </c>
      <c r="H113" s="56" t="s">
        <v>328</v>
      </c>
      <c r="I113" s="32" t="s">
        <v>101</v>
      </c>
      <c r="J113" s="32" t="s">
        <v>675</v>
      </c>
      <c r="K113" s="33">
        <f>VLOOKUP(BUONNY!B118,BUONNY!B28:D268,3,1)</f>
        <v>46322</v>
      </c>
      <c r="L113" s="33" t="str">
        <f t="shared" ca="1" si="3"/>
        <v>ADEQUADO AO RISCO</v>
      </c>
    </row>
    <row r="114" spans="1:12" ht="16.2" thickBot="1" x14ac:dyDescent="0.35">
      <c r="A114" s="29">
        <v>114</v>
      </c>
      <c r="B114" s="49" t="s">
        <v>677</v>
      </c>
      <c r="C114" s="49" t="s">
        <v>678</v>
      </c>
      <c r="D114" s="49" t="s">
        <v>908</v>
      </c>
      <c r="E114" s="55" t="s">
        <v>766</v>
      </c>
      <c r="F114" s="24" t="s">
        <v>684</v>
      </c>
      <c r="G114" s="31" t="s">
        <v>47</v>
      </c>
      <c r="H114" s="56" t="s">
        <v>118</v>
      </c>
      <c r="I114" s="32" t="s">
        <v>541</v>
      </c>
      <c r="J114" s="32" t="s">
        <v>909</v>
      </c>
      <c r="K114" s="33">
        <f>VLOOKUP(BUONNY!B119,BUONNY!B29:D269,3,1)</f>
        <v>46013</v>
      </c>
      <c r="L114" s="33" t="str">
        <f t="shared" ca="1" si="3"/>
        <v>DIVERGENTE</v>
      </c>
    </row>
    <row r="115" spans="1:12" ht="16.2" thickBot="1" x14ac:dyDescent="0.35">
      <c r="A115" s="29">
        <v>115</v>
      </c>
      <c r="B115" s="49" t="s">
        <v>680</v>
      </c>
      <c r="C115" s="49" t="s">
        <v>681</v>
      </c>
      <c r="D115" s="49" t="s">
        <v>682</v>
      </c>
      <c r="E115" s="55" t="s">
        <v>39</v>
      </c>
      <c r="F115" s="24" t="s">
        <v>683</v>
      </c>
      <c r="G115" s="31" t="s">
        <v>47</v>
      </c>
      <c r="H115" s="56" t="s">
        <v>48</v>
      </c>
      <c r="I115" s="32" t="s">
        <v>279</v>
      </c>
      <c r="J115" s="32" t="s">
        <v>685</v>
      </c>
      <c r="K115" s="33">
        <f>VLOOKUP(BUONNY!B120,BUONNY!B30:D270,3,1)</f>
        <v>45726</v>
      </c>
      <c r="L115" s="33" t="str">
        <f t="shared" ca="1" si="3"/>
        <v>DIVERGENTE</v>
      </c>
    </row>
    <row r="116" spans="1:12" ht="16.2" thickBot="1" x14ac:dyDescent="0.35">
      <c r="A116" s="29">
        <v>116</v>
      </c>
      <c r="B116" s="49" t="s">
        <v>461</v>
      </c>
      <c r="C116" s="49" t="s">
        <v>686</v>
      </c>
      <c r="D116" s="49" t="s">
        <v>687</v>
      </c>
      <c r="E116" s="55" t="s">
        <v>39</v>
      </c>
      <c r="F116" s="24" t="s">
        <v>689</v>
      </c>
      <c r="G116" s="31" t="s">
        <v>47</v>
      </c>
      <c r="H116" s="56" t="s">
        <v>48</v>
      </c>
      <c r="I116" s="32" t="s">
        <v>688</v>
      </c>
      <c r="J116" s="32" t="s">
        <v>685</v>
      </c>
      <c r="K116" s="33">
        <f>VLOOKUP(BUONNY!B121,BUONNY!B31:D271,3,1)</f>
        <v>46174</v>
      </c>
      <c r="L116" s="33" t="str">
        <f t="shared" ca="1" si="3"/>
        <v>DIVERGENTE</v>
      </c>
    </row>
    <row r="117" spans="1:12" ht="16.2" thickBot="1" x14ac:dyDescent="0.35">
      <c r="A117" s="29">
        <v>117</v>
      </c>
      <c r="B117" s="49" t="s">
        <v>696</v>
      </c>
      <c r="C117" s="49" t="s">
        <v>697</v>
      </c>
      <c r="D117" s="49" t="s">
        <v>698</v>
      </c>
      <c r="E117" s="55" t="s">
        <v>39</v>
      </c>
      <c r="F117" s="24" t="s">
        <v>699</v>
      </c>
      <c r="G117" s="31" t="s">
        <v>66</v>
      </c>
      <c r="H117" s="56" t="s">
        <v>67</v>
      </c>
      <c r="I117" s="32" t="s">
        <v>700</v>
      </c>
      <c r="J117" s="32" t="s">
        <v>701</v>
      </c>
      <c r="K117" s="33">
        <f>VLOOKUP(BUONNY!B122,BUONNY!B32:D272,3,1)</f>
        <v>46251</v>
      </c>
      <c r="L117" s="33" t="str">
        <f t="shared" ca="1" si="3"/>
        <v>ADEQUADO AO RISCO</v>
      </c>
    </row>
    <row r="118" spans="1:12" ht="16.2" thickBot="1" x14ac:dyDescent="0.35">
      <c r="A118" s="29">
        <v>118</v>
      </c>
      <c r="B118" s="49" t="s">
        <v>702</v>
      </c>
      <c r="C118" s="49" t="s">
        <v>703</v>
      </c>
      <c r="D118" s="49" t="s">
        <v>704</v>
      </c>
      <c r="E118" s="55" t="s">
        <v>39</v>
      </c>
      <c r="F118" s="24" t="s">
        <v>706</v>
      </c>
      <c r="G118" s="31">
        <v>0.75</v>
      </c>
      <c r="H118" s="56" t="s">
        <v>91</v>
      </c>
      <c r="I118" s="32" t="s">
        <v>154</v>
      </c>
      <c r="J118" s="32" t="s">
        <v>705</v>
      </c>
      <c r="K118" s="33">
        <f>VLOOKUP(BUONNY!B123,BUONNY!B33:D273,3,1)</f>
        <v>46194</v>
      </c>
      <c r="L118" s="33" t="str">
        <f t="shared" ref="L118:L125" ca="1" si="4">IF(K118&gt;$N$2,"ADEQUADO AO RISCO","DIVERGENTE")</f>
        <v>DIVERGENTE</v>
      </c>
    </row>
    <row r="119" spans="1:12" ht="16.2" thickBot="1" x14ac:dyDescent="0.35">
      <c r="A119" s="29">
        <v>119</v>
      </c>
      <c r="B119" s="49" t="s">
        <v>707</v>
      </c>
      <c r="C119" s="49" t="s">
        <v>708</v>
      </c>
      <c r="D119" s="49" t="s">
        <v>709</v>
      </c>
      <c r="E119" s="49" t="s">
        <v>710</v>
      </c>
      <c r="F119" s="24" t="s">
        <v>711</v>
      </c>
      <c r="G119" s="31" t="s">
        <v>147</v>
      </c>
      <c r="H119" s="56" t="s">
        <v>167</v>
      </c>
      <c r="I119" s="32" t="s">
        <v>536</v>
      </c>
      <c r="J119" s="32" t="s">
        <v>533</v>
      </c>
      <c r="K119" s="33">
        <f>VLOOKUP(BUONNY!B124,BUONNY!B34:D274,3,1)</f>
        <v>46139</v>
      </c>
      <c r="L119" s="33" t="str">
        <f t="shared" ca="1" si="4"/>
        <v>DIVERGENTE</v>
      </c>
    </row>
    <row r="120" spans="1:12" ht="16.2" thickBot="1" x14ac:dyDescent="0.35">
      <c r="A120" s="29">
        <v>120</v>
      </c>
      <c r="B120" s="49" t="s">
        <v>712</v>
      </c>
      <c r="C120" s="49" t="s">
        <v>713</v>
      </c>
      <c r="D120" s="49" t="s">
        <v>797</v>
      </c>
      <c r="E120" s="49" t="s">
        <v>796</v>
      </c>
      <c r="F120" s="24" t="s">
        <v>715</v>
      </c>
      <c r="G120" s="31" t="s">
        <v>147</v>
      </c>
      <c r="H120" s="56" t="s">
        <v>167</v>
      </c>
      <c r="I120" s="32" t="s">
        <v>714</v>
      </c>
      <c r="J120" s="32" t="s">
        <v>533</v>
      </c>
      <c r="K120" s="33">
        <f>VLOOKUP(BUONNY!B126,BUONNY!B36:D276,3,1)</f>
        <v>46034</v>
      </c>
      <c r="L120" s="33" t="str">
        <f t="shared" ca="1" si="4"/>
        <v>DIVERGENTE</v>
      </c>
    </row>
    <row r="121" spans="1:12" ht="16.2" thickBot="1" x14ac:dyDescent="0.35">
      <c r="A121" s="29">
        <v>121</v>
      </c>
      <c r="B121" s="49" t="s">
        <v>716</v>
      </c>
      <c r="C121" s="49" t="s">
        <v>717</v>
      </c>
      <c r="D121" s="49" t="s">
        <v>718</v>
      </c>
      <c r="E121" s="49" t="s">
        <v>719</v>
      </c>
      <c r="F121" s="24" t="s">
        <v>720</v>
      </c>
      <c r="G121" s="31" t="s">
        <v>147</v>
      </c>
      <c r="H121" s="56" t="s">
        <v>150</v>
      </c>
      <c r="I121" s="32" t="s">
        <v>536</v>
      </c>
      <c r="J121" s="32" t="s">
        <v>533</v>
      </c>
      <c r="K121" s="33">
        <f>VLOOKUP(BUONNY!B127,BUONNY!B37:D277,3,1)</f>
        <v>46270</v>
      </c>
      <c r="L121" s="33" t="str">
        <f t="shared" ca="1" si="4"/>
        <v>ADEQUADO AO RISCO</v>
      </c>
    </row>
    <row r="122" spans="1:12" ht="16.2" thickBot="1" x14ac:dyDescent="0.35">
      <c r="A122" s="29">
        <v>122</v>
      </c>
      <c r="B122" s="49" t="s">
        <v>721</v>
      </c>
      <c r="C122" s="49" t="s">
        <v>722</v>
      </c>
      <c r="D122" s="49" t="s">
        <v>880</v>
      </c>
      <c r="E122" s="49" t="s">
        <v>39</v>
      </c>
      <c r="F122" s="24" t="s">
        <v>723</v>
      </c>
      <c r="G122" s="31">
        <v>0.75</v>
      </c>
      <c r="H122" s="56" t="s">
        <v>328</v>
      </c>
      <c r="I122" s="32" t="s">
        <v>329</v>
      </c>
      <c r="J122" s="32" t="s">
        <v>58</v>
      </c>
      <c r="K122" s="33">
        <f>VLOOKUP(BUONNY!B128,BUONNY!B38:D278,3,1)</f>
        <v>46050</v>
      </c>
      <c r="L122" s="33" t="str">
        <f t="shared" ca="1" si="4"/>
        <v>DIVERGENTE</v>
      </c>
    </row>
    <row r="123" spans="1:12" ht="16.2" thickBot="1" x14ac:dyDescent="0.35">
      <c r="A123" s="29">
        <v>123</v>
      </c>
      <c r="B123" s="49" t="s">
        <v>724</v>
      </c>
      <c r="C123" s="49" t="s">
        <v>725</v>
      </c>
      <c r="D123" s="49" t="s">
        <v>726</v>
      </c>
      <c r="E123" s="49" t="s">
        <v>727</v>
      </c>
      <c r="F123" s="24"/>
      <c r="G123" s="31" t="s">
        <v>147</v>
      </c>
      <c r="H123" s="56" t="s">
        <v>150</v>
      </c>
      <c r="I123" s="32" t="s">
        <v>153</v>
      </c>
      <c r="J123" s="32" t="s">
        <v>533</v>
      </c>
      <c r="K123" s="33">
        <f>VLOOKUP(BUONNY!B129,BUONNY!B39:D279,3,1)</f>
        <v>46292</v>
      </c>
      <c r="L123" s="33" t="str">
        <f t="shared" ca="1" si="4"/>
        <v>ADEQUADO AO RISCO</v>
      </c>
    </row>
    <row r="124" spans="1:12" ht="16.2" thickBot="1" x14ac:dyDescent="0.35">
      <c r="A124" s="29">
        <v>124</v>
      </c>
      <c r="B124" s="49" t="s">
        <v>739</v>
      </c>
      <c r="C124" s="49" t="s">
        <v>740</v>
      </c>
      <c r="D124" s="31" t="s">
        <v>591</v>
      </c>
      <c r="E124" s="31" t="s">
        <v>39</v>
      </c>
      <c r="F124" s="24" t="s">
        <v>738</v>
      </c>
      <c r="G124" s="31" t="s">
        <v>66</v>
      </c>
      <c r="H124" s="56" t="s">
        <v>67</v>
      </c>
      <c r="I124" s="45" t="s">
        <v>294</v>
      </c>
      <c r="J124" s="32" t="s">
        <v>593</v>
      </c>
      <c r="K124" s="33">
        <f>VLOOKUP(BUONNY!B130,BUONNY!B40:D280,3,1)</f>
        <v>46343</v>
      </c>
      <c r="L124" s="33" t="str">
        <f t="shared" ca="1" si="4"/>
        <v>ADEQUADO AO RISCO</v>
      </c>
    </row>
    <row r="125" spans="1:12" ht="16.2" thickBot="1" x14ac:dyDescent="0.35">
      <c r="A125" s="29">
        <v>125</v>
      </c>
      <c r="B125" s="49" t="s">
        <v>741</v>
      </c>
      <c r="C125" s="31" t="s">
        <v>742</v>
      </c>
      <c r="D125" s="31" t="s">
        <v>743</v>
      </c>
      <c r="E125" s="31" t="s">
        <v>744</v>
      </c>
      <c r="F125" s="24" t="s">
        <v>745</v>
      </c>
      <c r="G125" s="31" t="s">
        <v>147</v>
      </c>
      <c r="H125" s="56" t="s">
        <v>167</v>
      </c>
      <c r="I125" s="32" t="s">
        <v>746</v>
      </c>
      <c r="J125" s="32" t="s">
        <v>533</v>
      </c>
      <c r="K125" s="33">
        <f>VLOOKUP(BUONNY!B131,BUONNY!B1:D281,3,1)</f>
        <v>46111</v>
      </c>
      <c r="L125" s="33" t="str">
        <f t="shared" ca="1" si="4"/>
        <v>DIVERGENTE</v>
      </c>
    </row>
    <row r="126" spans="1:12" ht="16.2" thickBot="1" x14ac:dyDescent="0.35">
      <c r="A126" s="29">
        <v>126</v>
      </c>
      <c r="B126" s="49" t="s">
        <v>747</v>
      </c>
      <c r="C126" s="31" t="s">
        <v>748</v>
      </c>
      <c r="D126" s="31" t="s">
        <v>749</v>
      </c>
      <c r="E126" s="31" t="s">
        <v>39</v>
      </c>
      <c r="F126" s="24" t="s">
        <v>750</v>
      </c>
      <c r="G126" s="31" t="s">
        <v>66</v>
      </c>
      <c r="H126" s="56" t="s">
        <v>67</v>
      </c>
      <c r="I126" s="32" t="s">
        <v>294</v>
      </c>
      <c r="J126" s="32" t="s">
        <v>152</v>
      </c>
      <c r="K126" s="33">
        <v>46111</v>
      </c>
      <c r="L126" s="33" t="str">
        <f ca="1">IF(K126&gt;$N$2,"ADEQUADO AO RISCO","DIVERGENTE")</f>
        <v>DIVERGENTE</v>
      </c>
    </row>
    <row r="127" spans="1:12" ht="16.2" thickBot="1" x14ac:dyDescent="0.35">
      <c r="A127" s="29">
        <v>127</v>
      </c>
      <c r="B127" s="49" t="s">
        <v>751</v>
      </c>
      <c r="C127" s="49" t="s">
        <v>752</v>
      </c>
      <c r="D127" s="49" t="s">
        <v>753</v>
      </c>
      <c r="E127" s="31" t="s">
        <v>39</v>
      </c>
      <c r="F127" s="24" t="s">
        <v>754</v>
      </c>
      <c r="G127" s="31" t="s">
        <v>66</v>
      </c>
      <c r="H127" s="56" t="s">
        <v>67</v>
      </c>
      <c r="I127" s="32" t="s">
        <v>68</v>
      </c>
      <c r="J127" s="32" t="s">
        <v>152</v>
      </c>
      <c r="K127" s="33">
        <v>46111</v>
      </c>
      <c r="L127" s="33" t="str">
        <f t="shared" ref="L127" ca="1" si="5">IF(K127&gt;$N$2,"ADEQUADO AO RISCO","DIVERGENTE")</f>
        <v>DIVERGENTE</v>
      </c>
    </row>
    <row r="128" spans="1:12" ht="16.2" thickBot="1" x14ac:dyDescent="0.35">
      <c r="A128" s="29">
        <v>128</v>
      </c>
      <c r="B128" s="49" t="s">
        <v>756</v>
      </c>
      <c r="C128" s="49"/>
      <c r="D128" s="49" t="s">
        <v>757</v>
      </c>
      <c r="E128" s="31" t="s">
        <v>758</v>
      </c>
      <c r="F128" s="24"/>
      <c r="G128" s="31" t="s">
        <v>147</v>
      </c>
      <c r="H128" s="56" t="s">
        <v>150</v>
      </c>
      <c r="I128" s="32" t="s">
        <v>153</v>
      </c>
      <c r="J128" s="32" t="s">
        <v>580</v>
      </c>
      <c r="K128" s="33"/>
      <c r="L128" s="33" t="str">
        <f t="shared" ref="L128" ca="1" si="6">IF(K128&gt;$N$2,"ADEQUADO AO RISCO","DIVERGENTE")</f>
        <v>DIVERGENTE</v>
      </c>
    </row>
    <row r="129" spans="1:12" ht="16.2" thickBot="1" x14ac:dyDescent="0.35">
      <c r="A129" s="29">
        <v>129</v>
      </c>
      <c r="B129" s="49" t="s">
        <v>762</v>
      </c>
      <c r="C129" s="49" t="s">
        <v>763</v>
      </c>
      <c r="D129" s="49" t="s">
        <v>764</v>
      </c>
      <c r="E129" s="49" t="s">
        <v>766</v>
      </c>
      <c r="F129" s="24" t="s">
        <v>765</v>
      </c>
      <c r="G129" s="31">
        <v>0.75</v>
      </c>
      <c r="H129" s="56" t="s">
        <v>118</v>
      </c>
      <c r="I129" s="32" t="s">
        <v>541</v>
      </c>
      <c r="J129" s="32" t="s">
        <v>334</v>
      </c>
      <c r="K129" s="33"/>
      <c r="L129" s="33" t="str">
        <f t="shared" ref="L129:L130" ca="1" si="7">IF(K129&gt;$N$2,"ADEQUADO AO RISCO","DIVERGENTE")</f>
        <v>DIVERGENTE</v>
      </c>
    </row>
    <row r="130" spans="1:12" ht="16.2" thickBot="1" x14ac:dyDescent="0.35">
      <c r="A130" s="29">
        <v>130</v>
      </c>
      <c r="B130" s="49" t="s">
        <v>770</v>
      </c>
      <c r="C130" s="49" t="s">
        <v>773</v>
      </c>
      <c r="D130" s="49" t="s">
        <v>771</v>
      </c>
      <c r="E130" s="49" t="s">
        <v>772</v>
      </c>
      <c r="F130" s="24" t="s">
        <v>774</v>
      </c>
      <c r="G130" s="31" t="s">
        <v>147</v>
      </c>
      <c r="H130" s="56" t="s">
        <v>167</v>
      </c>
      <c r="I130" s="32" t="s">
        <v>536</v>
      </c>
      <c r="J130" s="32" t="s">
        <v>645</v>
      </c>
      <c r="K130" s="33"/>
      <c r="L130" s="33" t="str">
        <f t="shared" ca="1" si="7"/>
        <v>DIVERGENTE</v>
      </c>
    </row>
    <row r="131" spans="1:12" ht="16.2" thickBot="1" x14ac:dyDescent="0.35">
      <c r="A131" s="29">
        <v>131</v>
      </c>
      <c r="B131" s="49" t="s">
        <v>779</v>
      </c>
      <c r="C131" s="49" t="s">
        <v>775</v>
      </c>
      <c r="D131" s="49" t="s">
        <v>776</v>
      </c>
      <c r="E131" s="49" t="s">
        <v>777</v>
      </c>
      <c r="F131" s="24" t="s">
        <v>778</v>
      </c>
      <c r="G131" s="31" t="s">
        <v>147</v>
      </c>
      <c r="H131" s="56" t="s">
        <v>150</v>
      </c>
      <c r="I131" s="32" t="s">
        <v>153</v>
      </c>
      <c r="J131" s="32" t="s">
        <v>533</v>
      </c>
      <c r="K131" s="33"/>
      <c r="L131" s="33" t="str">
        <f t="shared" ref="L131:L133" ca="1" si="8">IF(K131&gt;$N$2,"ADEQUADO AO RISCO","DIVERGENTE")</f>
        <v>DIVERGENTE</v>
      </c>
    </row>
    <row r="132" spans="1:12" ht="16.2" thickBot="1" x14ac:dyDescent="0.35">
      <c r="A132" s="29">
        <v>132</v>
      </c>
      <c r="B132" s="49" t="s">
        <v>783</v>
      </c>
      <c r="C132" s="49" t="s">
        <v>784</v>
      </c>
      <c r="D132" s="49" t="s">
        <v>782</v>
      </c>
      <c r="E132" s="49" t="s">
        <v>766</v>
      </c>
      <c r="F132" s="24" t="s">
        <v>780</v>
      </c>
      <c r="G132" s="31" t="s">
        <v>66</v>
      </c>
      <c r="H132" s="56" t="s">
        <v>67</v>
      </c>
      <c r="I132" s="32" t="s">
        <v>294</v>
      </c>
      <c r="J132" s="32" t="s">
        <v>781</v>
      </c>
      <c r="K132" s="33"/>
      <c r="L132" s="33" t="str">
        <f t="shared" ca="1" si="8"/>
        <v>DIVERGENTE</v>
      </c>
    </row>
    <row r="133" spans="1:12" ht="16.2" thickBot="1" x14ac:dyDescent="0.35">
      <c r="A133" s="29">
        <v>133</v>
      </c>
      <c r="B133" s="49" t="s">
        <v>787</v>
      </c>
      <c r="C133" s="49" t="s">
        <v>788</v>
      </c>
      <c r="D133" s="49" t="s">
        <v>789</v>
      </c>
      <c r="E133" s="49" t="s">
        <v>790</v>
      </c>
      <c r="F133" s="24" t="s">
        <v>791</v>
      </c>
      <c r="G133" s="31" t="s">
        <v>147</v>
      </c>
      <c r="H133" s="56" t="s">
        <v>150</v>
      </c>
      <c r="I133" s="32" t="s">
        <v>153</v>
      </c>
      <c r="J133" s="32" t="s">
        <v>533</v>
      </c>
      <c r="K133" s="33"/>
      <c r="L133" s="33" t="str">
        <f t="shared" ca="1" si="8"/>
        <v>DIVERGENTE</v>
      </c>
    </row>
    <row r="134" spans="1:12" ht="16.2" thickBot="1" x14ac:dyDescent="0.35">
      <c r="A134" s="29">
        <v>134</v>
      </c>
      <c r="B134" s="49" t="s">
        <v>792</v>
      </c>
      <c r="C134" s="49" t="s">
        <v>793</v>
      </c>
      <c r="D134" s="49" t="s">
        <v>546</v>
      </c>
      <c r="E134" s="49" t="s">
        <v>794</v>
      </c>
      <c r="F134" s="24" t="s">
        <v>795</v>
      </c>
      <c r="G134" s="31" t="s">
        <v>147</v>
      </c>
      <c r="H134" s="56" t="s">
        <v>531</v>
      </c>
      <c r="I134" s="32" t="s">
        <v>799</v>
      </c>
      <c r="J134" s="32" t="s">
        <v>533</v>
      </c>
      <c r="K134" s="33"/>
      <c r="L134" s="33" t="str">
        <f t="shared" ref="L134:L138" ca="1" si="9">IF(K134&gt;$N$2,"ADEQUADO AO RISCO","DIVERGENTE")</f>
        <v>DIVERGENTE</v>
      </c>
    </row>
    <row r="135" spans="1:12" ht="16.2" thickBot="1" x14ac:dyDescent="0.35">
      <c r="A135" s="29">
        <v>135</v>
      </c>
      <c r="B135" s="49" t="s">
        <v>801</v>
      </c>
      <c r="C135" s="49" t="s">
        <v>802</v>
      </c>
      <c r="D135" s="49" t="s">
        <v>803</v>
      </c>
      <c r="E135" s="49" t="s">
        <v>766</v>
      </c>
      <c r="F135" s="24" t="s">
        <v>810</v>
      </c>
      <c r="G135" s="31">
        <v>0.75</v>
      </c>
      <c r="H135" s="56" t="s">
        <v>328</v>
      </c>
      <c r="I135" s="32" t="s">
        <v>329</v>
      </c>
      <c r="J135" s="32" t="s">
        <v>804</v>
      </c>
      <c r="K135" s="33"/>
      <c r="L135" s="33" t="str">
        <f t="shared" ca="1" si="9"/>
        <v>DIVERGENTE</v>
      </c>
    </row>
    <row r="136" spans="1:12" ht="16.2" thickBot="1" x14ac:dyDescent="0.35">
      <c r="A136" s="29">
        <v>136</v>
      </c>
      <c r="B136" s="49" t="s">
        <v>815</v>
      </c>
      <c r="C136" s="49" t="s">
        <v>813</v>
      </c>
      <c r="D136" s="49" t="s">
        <v>814</v>
      </c>
      <c r="E136" s="49" t="s">
        <v>812</v>
      </c>
      <c r="F136" s="24" t="s">
        <v>811</v>
      </c>
      <c r="G136" s="31" t="s">
        <v>66</v>
      </c>
      <c r="H136" s="56" t="s">
        <v>67</v>
      </c>
      <c r="I136" s="32" t="s">
        <v>294</v>
      </c>
      <c r="J136" s="32" t="s">
        <v>781</v>
      </c>
      <c r="K136" s="33"/>
      <c r="L136" s="33" t="str">
        <f t="shared" ca="1" si="9"/>
        <v>DIVERGENTE</v>
      </c>
    </row>
    <row r="137" spans="1:12" ht="16.2" thickBot="1" x14ac:dyDescent="0.35">
      <c r="A137" s="29">
        <v>137</v>
      </c>
      <c r="B137" s="49" t="s">
        <v>805</v>
      </c>
      <c r="C137" s="55" t="s">
        <v>807</v>
      </c>
      <c r="D137" s="31" t="s">
        <v>808</v>
      </c>
      <c r="E137" s="31" t="s">
        <v>809</v>
      </c>
      <c r="F137" s="24" t="s">
        <v>806</v>
      </c>
      <c r="G137" s="31" t="s">
        <v>147</v>
      </c>
      <c r="H137" s="56" t="s">
        <v>167</v>
      </c>
      <c r="I137" s="32" t="s">
        <v>536</v>
      </c>
      <c r="J137" s="32" t="s">
        <v>533</v>
      </c>
      <c r="K137" s="33"/>
      <c r="L137" s="33" t="str">
        <f t="shared" ca="1" si="9"/>
        <v>DIVERGENTE</v>
      </c>
    </row>
    <row r="138" spans="1:12" ht="16.2" thickBot="1" x14ac:dyDescent="0.35">
      <c r="A138" s="29">
        <v>138</v>
      </c>
      <c r="B138" s="49" t="s">
        <v>1135</v>
      </c>
      <c r="C138" s="49" t="s">
        <v>1136</v>
      </c>
      <c r="D138" s="50" t="s">
        <v>679</v>
      </c>
      <c r="E138" s="49" t="s">
        <v>766</v>
      </c>
      <c r="F138" s="24" t="s">
        <v>1137</v>
      </c>
      <c r="G138" s="31">
        <v>0.75</v>
      </c>
      <c r="H138" s="56" t="s">
        <v>118</v>
      </c>
      <c r="I138" s="32" t="s">
        <v>541</v>
      </c>
      <c r="J138" s="32" t="s">
        <v>570</v>
      </c>
      <c r="K138" s="33"/>
      <c r="L138" s="33" t="str">
        <f t="shared" ca="1" si="9"/>
        <v>DIVERGENTE</v>
      </c>
    </row>
    <row r="139" spans="1:12" ht="16.2" thickBot="1" x14ac:dyDescent="0.35">
      <c r="A139" s="29">
        <v>139</v>
      </c>
      <c r="B139" s="49" t="s">
        <v>817</v>
      </c>
      <c r="C139" s="55" t="s">
        <v>818</v>
      </c>
      <c r="D139" s="31" t="s">
        <v>819</v>
      </c>
      <c r="E139" s="31" t="s">
        <v>820</v>
      </c>
      <c r="F139" s="24" t="s">
        <v>821</v>
      </c>
      <c r="G139" s="31" t="s">
        <v>147</v>
      </c>
      <c r="H139" s="56" t="s">
        <v>167</v>
      </c>
      <c r="I139" s="32" t="s">
        <v>536</v>
      </c>
      <c r="J139" s="32" t="s">
        <v>533</v>
      </c>
      <c r="K139" s="33"/>
      <c r="L139" s="33" t="str">
        <f t="shared" ref="L139:L142" ca="1" si="10">IF(K139&gt;$N$2,"ADEQUADO AO RISCO","DIVERGENTE")</f>
        <v>DIVERGENTE</v>
      </c>
    </row>
    <row r="140" spans="1:12" ht="16.2" thickBot="1" x14ac:dyDescent="0.35">
      <c r="A140" s="29">
        <v>140</v>
      </c>
      <c r="B140" s="49" t="s">
        <v>822</v>
      </c>
      <c r="C140" s="49" t="s">
        <v>824</v>
      </c>
      <c r="D140" s="49" t="s">
        <v>823</v>
      </c>
      <c r="E140" s="49" t="s">
        <v>39</v>
      </c>
      <c r="F140" s="24" t="s">
        <v>825</v>
      </c>
      <c r="G140" s="31" t="s">
        <v>47</v>
      </c>
      <c r="H140" s="56" t="s">
        <v>118</v>
      </c>
      <c r="I140" s="32" t="s">
        <v>541</v>
      </c>
      <c r="J140" s="32" t="s">
        <v>334</v>
      </c>
      <c r="K140" s="33"/>
      <c r="L140" s="33" t="str">
        <f t="shared" ca="1" si="10"/>
        <v>DIVERGENTE</v>
      </c>
    </row>
    <row r="141" spans="1:12" ht="16.2" thickBot="1" x14ac:dyDescent="0.35">
      <c r="A141" s="29">
        <v>141</v>
      </c>
      <c r="B141" s="49" t="s">
        <v>826</v>
      </c>
      <c r="C141" s="49" t="s">
        <v>827</v>
      </c>
      <c r="D141" s="49" t="s">
        <v>828</v>
      </c>
      <c r="E141" s="49" t="s">
        <v>829</v>
      </c>
      <c r="F141" s="24" t="s">
        <v>830</v>
      </c>
      <c r="G141" s="31" t="s">
        <v>147</v>
      </c>
      <c r="H141" s="56" t="s">
        <v>150</v>
      </c>
      <c r="I141" s="32" t="s">
        <v>536</v>
      </c>
      <c r="J141" s="32" t="s">
        <v>533</v>
      </c>
      <c r="K141" s="33"/>
      <c r="L141" s="33" t="str">
        <f t="shared" ca="1" si="10"/>
        <v>DIVERGENTE</v>
      </c>
    </row>
    <row r="142" spans="1:12" ht="15.6" x14ac:dyDescent="0.3">
      <c r="A142" s="98">
        <v>142</v>
      </c>
      <c r="B142" s="50" t="s">
        <v>831</v>
      </c>
      <c r="C142" s="50" t="s">
        <v>832</v>
      </c>
      <c r="D142" s="50" t="s">
        <v>679</v>
      </c>
      <c r="E142" s="99" t="s">
        <v>766</v>
      </c>
      <c r="F142" s="100" t="s">
        <v>833</v>
      </c>
      <c r="G142" s="101" t="s">
        <v>47</v>
      </c>
      <c r="H142" s="102" t="s">
        <v>149</v>
      </c>
      <c r="I142" s="52" t="s">
        <v>310</v>
      </c>
      <c r="J142" s="52" t="s">
        <v>570</v>
      </c>
      <c r="K142" s="103"/>
      <c r="L142" s="103" t="str">
        <f t="shared" ca="1" si="10"/>
        <v>DIVERGENTE</v>
      </c>
    </row>
    <row r="143" spans="1:12" s="97" customFormat="1" ht="15.6" x14ac:dyDescent="0.3">
      <c r="A143" s="104">
        <v>143</v>
      </c>
      <c r="B143" s="49" t="s">
        <v>506</v>
      </c>
      <c r="C143" s="49">
        <v>1103698583</v>
      </c>
      <c r="D143" s="49" t="s">
        <v>837</v>
      </c>
      <c r="E143" s="49" t="s">
        <v>30</v>
      </c>
      <c r="F143" s="49"/>
      <c r="G143" s="49" t="s">
        <v>47</v>
      </c>
      <c r="H143" s="49" t="s">
        <v>48</v>
      </c>
      <c r="I143" s="49"/>
      <c r="J143" s="49"/>
      <c r="K143" s="49"/>
      <c r="L143" s="105"/>
    </row>
    <row r="144" spans="1:12" s="97" customFormat="1" ht="16.2" thickBot="1" x14ac:dyDescent="0.35">
      <c r="A144" s="104">
        <v>144</v>
      </c>
      <c r="B144" s="49" t="s">
        <v>610</v>
      </c>
      <c r="C144" s="49">
        <v>93864132568</v>
      </c>
      <c r="D144" s="49" t="s">
        <v>839</v>
      </c>
      <c r="E144" s="49" t="s">
        <v>30</v>
      </c>
      <c r="F144" s="100" t="s">
        <v>840</v>
      </c>
      <c r="G144" s="108">
        <v>0.75</v>
      </c>
      <c r="H144" s="49" t="s">
        <v>91</v>
      </c>
      <c r="I144" s="49" t="s">
        <v>81</v>
      </c>
      <c r="J144" s="32" t="s">
        <v>705</v>
      </c>
      <c r="K144" s="49"/>
      <c r="L144" s="105"/>
    </row>
    <row r="145" spans="1:12" ht="16.2" thickBot="1" x14ac:dyDescent="0.35">
      <c r="A145" s="29">
        <v>145</v>
      </c>
      <c r="B145" s="49" t="s">
        <v>841</v>
      </c>
      <c r="C145" s="49" t="s">
        <v>842</v>
      </c>
      <c r="D145" s="49" t="s">
        <v>679</v>
      </c>
      <c r="E145" s="55" t="s">
        <v>766</v>
      </c>
      <c r="F145" s="24" t="s">
        <v>843</v>
      </c>
      <c r="G145" s="31" t="s">
        <v>47</v>
      </c>
      <c r="H145" s="56" t="s">
        <v>149</v>
      </c>
      <c r="I145" s="32" t="s">
        <v>310</v>
      </c>
      <c r="J145" s="32" t="s">
        <v>570</v>
      </c>
      <c r="K145" s="33"/>
      <c r="L145" s="33" t="str">
        <f t="shared" ref="L145:L146" ca="1" si="11">IF(K145&gt;$N$2,"ADEQUADO AO RISCO","DIVERGENTE")</f>
        <v>DIVERGENTE</v>
      </c>
    </row>
    <row r="146" spans="1:12" ht="16.2" thickBot="1" x14ac:dyDescent="0.35">
      <c r="A146" s="29">
        <v>146</v>
      </c>
      <c r="B146" s="49" t="s">
        <v>844</v>
      </c>
      <c r="C146" s="112" t="s">
        <v>845</v>
      </c>
      <c r="D146" s="49" t="s">
        <v>846</v>
      </c>
      <c r="E146" s="49" t="s">
        <v>847</v>
      </c>
      <c r="F146" s="49" t="s">
        <v>848</v>
      </c>
      <c r="G146" s="31" t="s">
        <v>147</v>
      </c>
      <c r="H146" s="56" t="s">
        <v>150</v>
      </c>
      <c r="I146" s="32" t="s">
        <v>153</v>
      </c>
      <c r="J146" s="32" t="s">
        <v>266</v>
      </c>
      <c r="K146" s="33"/>
      <c r="L146" s="33" t="str">
        <f t="shared" ca="1" si="11"/>
        <v>DIVERGENTE</v>
      </c>
    </row>
    <row r="147" spans="1:12" ht="16.2" thickBot="1" x14ac:dyDescent="0.35">
      <c r="A147" s="29">
        <v>147</v>
      </c>
      <c r="B147" s="49" t="s">
        <v>849</v>
      </c>
      <c r="C147" s="112" t="s">
        <v>850</v>
      </c>
      <c r="D147" s="49" t="s">
        <v>851</v>
      </c>
      <c r="E147" s="49" t="s">
        <v>853</v>
      </c>
      <c r="F147" s="49" t="s">
        <v>852</v>
      </c>
      <c r="G147" s="31" t="s">
        <v>147</v>
      </c>
      <c r="H147" s="56"/>
      <c r="I147" s="32" t="s">
        <v>854</v>
      </c>
      <c r="J147" s="32" t="s">
        <v>593</v>
      </c>
      <c r="K147" s="33"/>
      <c r="L147" s="33" t="str">
        <f t="shared" ref="L147" ca="1" si="12">IF(K147&gt;$N$2,"ADEQUADO AO RISCO","DIVERGENTE")</f>
        <v>DIVERGENTE</v>
      </c>
    </row>
    <row r="148" spans="1:12" ht="16.2" thickBot="1" x14ac:dyDescent="0.35">
      <c r="A148" s="29">
        <v>148</v>
      </c>
      <c r="B148" s="49" t="s">
        <v>857</v>
      </c>
      <c r="C148" s="112"/>
      <c r="D148" s="49" t="s">
        <v>858</v>
      </c>
      <c r="E148" s="49" t="s">
        <v>859</v>
      </c>
      <c r="F148" s="49"/>
      <c r="G148" s="31" t="s">
        <v>147</v>
      </c>
      <c r="H148" s="56"/>
      <c r="I148" s="32" t="s">
        <v>153</v>
      </c>
      <c r="J148" s="32" t="s">
        <v>645</v>
      </c>
      <c r="K148" s="33"/>
      <c r="L148" s="33" t="str">
        <f t="shared" ref="L148" ca="1" si="13">IF(K148&gt;$N$2,"ADEQUADO AO RISCO","DIVERGENTE")</f>
        <v>DIVERGENTE</v>
      </c>
    </row>
    <row r="149" spans="1:12" ht="16.2" thickBot="1" x14ac:dyDescent="0.35">
      <c r="A149" s="29">
        <v>149</v>
      </c>
      <c r="B149" s="49" t="s">
        <v>425</v>
      </c>
      <c r="C149" s="112" t="s">
        <v>861</v>
      </c>
      <c r="D149" s="49" t="s">
        <v>862</v>
      </c>
      <c r="E149" s="49" t="s">
        <v>39</v>
      </c>
      <c r="F149" s="49" t="s">
        <v>863</v>
      </c>
      <c r="G149" s="31">
        <v>0.75</v>
      </c>
      <c r="H149" s="56" t="s">
        <v>91</v>
      </c>
      <c r="I149" s="32" t="s">
        <v>864</v>
      </c>
      <c r="J149" s="32" t="s">
        <v>92</v>
      </c>
      <c r="K149" s="33"/>
      <c r="L149" s="33" t="str">
        <f t="shared" ref="L149:L151" ca="1" si="14">IF(K149&gt;$N$2,"ADEQUADO AO RISCO","DIVERGENTE")</f>
        <v>DIVERGENTE</v>
      </c>
    </row>
    <row r="150" spans="1:12" ht="16.2" thickBot="1" x14ac:dyDescent="0.35">
      <c r="A150" s="29">
        <v>150</v>
      </c>
      <c r="B150" s="49" t="s">
        <v>866</v>
      </c>
      <c r="C150" s="49" t="s">
        <v>867</v>
      </c>
      <c r="D150" s="49" t="s">
        <v>868</v>
      </c>
      <c r="E150" s="49" t="s">
        <v>766</v>
      </c>
      <c r="F150" s="49" t="s">
        <v>869</v>
      </c>
      <c r="G150" s="31" t="s">
        <v>66</v>
      </c>
      <c r="H150" s="56" t="s">
        <v>67</v>
      </c>
      <c r="I150" s="32" t="s">
        <v>294</v>
      </c>
      <c r="J150" s="32" t="s">
        <v>781</v>
      </c>
      <c r="K150" s="33"/>
      <c r="L150" s="33" t="str">
        <f t="shared" ca="1" si="14"/>
        <v>DIVERGENTE</v>
      </c>
    </row>
    <row r="151" spans="1:12" ht="16.2" thickBot="1" x14ac:dyDescent="0.35">
      <c r="A151" s="29">
        <v>151</v>
      </c>
      <c r="B151" s="49" t="s">
        <v>886</v>
      </c>
      <c r="C151" s="49" t="s">
        <v>887</v>
      </c>
      <c r="D151" s="49" t="s">
        <v>888</v>
      </c>
      <c r="E151" s="49" t="s">
        <v>870</v>
      </c>
      <c r="F151" s="24"/>
      <c r="G151" s="31" t="s">
        <v>66</v>
      </c>
      <c r="H151" s="56" t="s">
        <v>67</v>
      </c>
      <c r="I151" s="32" t="s">
        <v>294</v>
      </c>
      <c r="J151" s="32" t="s">
        <v>781</v>
      </c>
      <c r="K151" s="33"/>
      <c r="L151" s="33" t="str">
        <f t="shared" ca="1" si="14"/>
        <v>DIVERGENTE</v>
      </c>
    </row>
    <row r="152" spans="1:12" ht="16.2" thickBot="1" x14ac:dyDescent="0.35">
      <c r="A152" s="29">
        <v>152</v>
      </c>
      <c r="B152" s="49" t="s">
        <v>873</v>
      </c>
      <c r="C152" s="49"/>
      <c r="D152" s="49" t="s">
        <v>874</v>
      </c>
      <c r="E152" s="49" t="s">
        <v>875</v>
      </c>
      <c r="F152" s="24"/>
      <c r="G152" s="31" t="s">
        <v>147</v>
      </c>
      <c r="H152" s="56" t="s">
        <v>150</v>
      </c>
      <c r="I152" s="32" t="s">
        <v>153</v>
      </c>
      <c r="J152" s="32" t="s">
        <v>645</v>
      </c>
      <c r="K152" s="33"/>
      <c r="L152" s="33" t="str">
        <f t="shared" ref="L152:L156" ca="1" si="15">IF(K152&gt;$N$2,"ADEQUADO AO RISCO","DIVERGENTE")</f>
        <v>DIVERGENTE</v>
      </c>
    </row>
    <row r="153" spans="1:12" ht="16.2" thickBot="1" x14ac:dyDescent="0.35">
      <c r="A153" s="29">
        <v>153</v>
      </c>
      <c r="B153" s="49" t="s">
        <v>876</v>
      </c>
      <c r="C153" s="49" t="s">
        <v>877</v>
      </c>
      <c r="D153" s="49" t="s">
        <v>878</v>
      </c>
      <c r="E153" s="49" t="s">
        <v>39</v>
      </c>
      <c r="F153" s="49" t="s">
        <v>879</v>
      </c>
      <c r="G153" s="31" t="s">
        <v>66</v>
      </c>
      <c r="H153" s="56" t="s">
        <v>67</v>
      </c>
      <c r="I153" s="32" t="s">
        <v>294</v>
      </c>
      <c r="J153" s="32" t="s">
        <v>781</v>
      </c>
      <c r="K153" s="33"/>
      <c r="L153" s="33" t="str">
        <f t="shared" ca="1" si="15"/>
        <v>DIVERGENTE</v>
      </c>
    </row>
    <row r="154" spans="1:12" ht="16.2" thickBot="1" x14ac:dyDescent="0.35">
      <c r="A154" s="29">
        <v>154</v>
      </c>
      <c r="B154" s="49" t="s">
        <v>882</v>
      </c>
      <c r="C154" s="49" t="s">
        <v>883</v>
      </c>
      <c r="D154" s="49" t="s">
        <v>884</v>
      </c>
      <c r="E154" s="49" t="s">
        <v>327</v>
      </c>
      <c r="F154" s="49" t="s">
        <v>885</v>
      </c>
      <c r="G154" s="31" t="s">
        <v>66</v>
      </c>
      <c r="H154" s="56" t="s">
        <v>67</v>
      </c>
      <c r="I154" s="32" t="s">
        <v>294</v>
      </c>
      <c r="J154" s="32" t="s">
        <v>781</v>
      </c>
      <c r="K154" s="33"/>
      <c r="L154" s="33" t="str">
        <f t="shared" ca="1" si="15"/>
        <v>DIVERGENTE</v>
      </c>
    </row>
    <row r="155" spans="1:12" ht="16.2" thickBot="1" x14ac:dyDescent="0.35">
      <c r="A155" s="29">
        <v>155</v>
      </c>
      <c r="B155" s="49" t="s">
        <v>439</v>
      </c>
      <c r="C155" s="49" t="s">
        <v>950</v>
      </c>
      <c r="D155" s="49" t="s">
        <v>896</v>
      </c>
      <c r="E155" s="49" t="s">
        <v>144</v>
      </c>
      <c r="F155" s="49"/>
      <c r="G155" s="31" t="s">
        <v>897</v>
      </c>
      <c r="H155" s="56" t="s">
        <v>899</v>
      </c>
      <c r="I155" s="32" t="s">
        <v>898</v>
      </c>
      <c r="J155" s="32" t="s">
        <v>900</v>
      </c>
      <c r="K155" s="33"/>
      <c r="L155" s="33" t="str">
        <f t="shared" ca="1" si="15"/>
        <v>DIVERGENTE</v>
      </c>
    </row>
    <row r="156" spans="1:12" ht="16.2" thickBot="1" x14ac:dyDescent="0.35">
      <c r="A156" s="29">
        <v>156</v>
      </c>
      <c r="B156" s="49" t="s">
        <v>901</v>
      </c>
      <c r="C156" s="55"/>
      <c r="D156" s="55" t="s">
        <v>902</v>
      </c>
      <c r="E156" s="55" t="s">
        <v>30</v>
      </c>
      <c r="F156" s="24"/>
      <c r="G156" s="31" t="s">
        <v>72</v>
      </c>
      <c r="H156" s="56" t="s">
        <v>589</v>
      </c>
      <c r="I156" s="32" t="s">
        <v>313</v>
      </c>
      <c r="J156" s="32" t="s">
        <v>75</v>
      </c>
      <c r="K156" s="33"/>
      <c r="L156" s="33" t="str">
        <f t="shared" ca="1" si="15"/>
        <v>DIVERGENTE</v>
      </c>
    </row>
    <row r="157" spans="1:12" ht="16.2" thickBot="1" x14ac:dyDescent="0.35">
      <c r="A157" s="29">
        <v>157</v>
      </c>
      <c r="B157" s="49" t="s">
        <v>903</v>
      </c>
      <c r="C157" s="49" t="s">
        <v>904</v>
      </c>
      <c r="D157" s="49" t="s">
        <v>905</v>
      </c>
      <c r="E157" s="49" t="s">
        <v>906</v>
      </c>
      <c r="F157" s="49" t="s">
        <v>907</v>
      </c>
      <c r="G157" s="31" t="s">
        <v>147</v>
      </c>
      <c r="H157" s="56" t="s">
        <v>150</v>
      </c>
      <c r="I157" s="32" t="s">
        <v>153</v>
      </c>
      <c r="J157" s="32" t="s">
        <v>533</v>
      </c>
      <c r="K157" s="33"/>
      <c r="L157" s="33" t="str">
        <f t="shared" ref="L157" ca="1" si="16">IF(K157&gt;$N$2,"ADEQUADO AO RISCO","DIVERGENTE")</f>
        <v>DIVERGENTE</v>
      </c>
    </row>
    <row r="158" spans="1:12" ht="16.2" thickBot="1" x14ac:dyDescent="0.35">
      <c r="A158" s="29">
        <v>158</v>
      </c>
      <c r="B158" s="49" t="s">
        <v>911</v>
      </c>
      <c r="C158" s="49" t="s">
        <v>912</v>
      </c>
      <c r="D158" s="49" t="s">
        <v>913</v>
      </c>
      <c r="E158" s="49" t="s">
        <v>920</v>
      </c>
      <c r="F158" s="49" t="s">
        <v>914</v>
      </c>
      <c r="G158" s="31" t="s">
        <v>147</v>
      </c>
      <c r="H158" s="56" t="s">
        <v>167</v>
      </c>
      <c r="I158" s="32" t="s">
        <v>536</v>
      </c>
      <c r="J158" s="32" t="s">
        <v>533</v>
      </c>
      <c r="K158" s="33"/>
      <c r="L158" s="33" t="str">
        <f t="shared" ref="L158" ca="1" si="17">IF(K158&gt;$N$2,"ADEQUADO AO RISCO","DIVERGENTE")</f>
        <v>DIVERGENTE</v>
      </c>
    </row>
    <row r="159" spans="1:12" ht="16.2" thickBot="1" x14ac:dyDescent="0.35">
      <c r="A159" s="29">
        <v>159</v>
      </c>
      <c r="B159" s="49" t="s">
        <v>915</v>
      </c>
      <c r="C159" s="49" t="s">
        <v>918</v>
      </c>
      <c r="D159" s="49" t="s">
        <v>916</v>
      </c>
      <c r="E159" s="49" t="s">
        <v>917</v>
      </c>
      <c r="F159" s="49" t="s">
        <v>919</v>
      </c>
      <c r="G159" s="31" t="s">
        <v>147</v>
      </c>
      <c r="H159" s="56" t="s">
        <v>150</v>
      </c>
      <c r="I159" s="32" t="s">
        <v>153</v>
      </c>
      <c r="J159" s="32" t="s">
        <v>645</v>
      </c>
      <c r="K159" s="33"/>
      <c r="L159" s="33" t="str">
        <f t="shared" ref="L159" ca="1" si="18">IF(K159&gt;$N$2,"ADEQUADO AO RISCO","DIVERGENTE")</f>
        <v>DIVERGENTE</v>
      </c>
    </row>
    <row r="160" spans="1:12" ht="16.2" thickBot="1" x14ac:dyDescent="0.35">
      <c r="A160" s="29">
        <v>160</v>
      </c>
      <c r="B160" s="49" t="s">
        <v>924</v>
      </c>
      <c r="C160" s="49" t="s">
        <v>925</v>
      </c>
      <c r="D160" s="49" t="s">
        <v>926</v>
      </c>
      <c r="E160" s="49" t="s">
        <v>927</v>
      </c>
      <c r="F160" s="49"/>
      <c r="G160" s="31" t="s">
        <v>147</v>
      </c>
      <c r="H160" s="56" t="s">
        <v>150</v>
      </c>
      <c r="I160" s="32" t="s">
        <v>153</v>
      </c>
      <c r="J160" s="32" t="s">
        <v>645</v>
      </c>
      <c r="K160" s="33"/>
      <c r="L160" s="33" t="str">
        <f t="shared" ref="L160:L161" ca="1" si="19">IF(K160&gt;$N$2,"ADEQUADO AO RISCO","DIVERGENTE")</f>
        <v>DIVERGENTE</v>
      </c>
    </row>
    <row r="161" spans="1:12" ht="16.2" thickBot="1" x14ac:dyDescent="0.35">
      <c r="A161" s="29">
        <v>161</v>
      </c>
      <c r="B161" s="49" t="s">
        <v>381</v>
      </c>
      <c r="C161" s="49" t="s">
        <v>1030</v>
      </c>
      <c r="D161" s="49" t="s">
        <v>934</v>
      </c>
      <c r="E161" s="49" t="s">
        <v>144</v>
      </c>
      <c r="F161" s="49" t="s">
        <v>287</v>
      </c>
      <c r="G161" s="31" t="s">
        <v>66</v>
      </c>
      <c r="H161" s="56" t="s">
        <v>67</v>
      </c>
      <c r="I161" s="32" t="s">
        <v>935</v>
      </c>
      <c r="J161" s="32" t="s">
        <v>152</v>
      </c>
      <c r="K161" s="33"/>
      <c r="L161" s="33" t="str">
        <f t="shared" ca="1" si="19"/>
        <v>DIVERGENTE</v>
      </c>
    </row>
    <row r="162" spans="1:12" ht="16.2" thickBot="1" x14ac:dyDescent="0.35">
      <c r="A162" s="29">
        <v>162</v>
      </c>
      <c r="B162" s="49" t="s">
        <v>937</v>
      </c>
      <c r="C162" s="49" t="s">
        <v>938</v>
      </c>
      <c r="D162" s="49" t="s">
        <v>939</v>
      </c>
      <c r="E162" s="49" t="s">
        <v>940</v>
      </c>
      <c r="F162" s="49" t="s">
        <v>941</v>
      </c>
      <c r="G162" s="31" t="s">
        <v>147</v>
      </c>
      <c r="H162" s="56" t="s">
        <v>167</v>
      </c>
      <c r="I162" s="32" t="s">
        <v>536</v>
      </c>
      <c r="J162" s="32" t="s">
        <v>645</v>
      </c>
      <c r="K162" s="33"/>
      <c r="L162" s="33" t="str">
        <f t="shared" ref="L162:L164" ca="1" si="20">IF(K162&gt;$N$2,"ADEQUADO AO RISCO","DIVERGENTE")</f>
        <v>DIVERGENTE</v>
      </c>
    </row>
    <row r="163" spans="1:12" ht="16.2" thickBot="1" x14ac:dyDescent="0.35">
      <c r="A163" s="29">
        <v>163</v>
      </c>
      <c r="B163" s="49" t="s">
        <v>237</v>
      </c>
      <c r="C163" s="30" t="s">
        <v>942</v>
      </c>
      <c r="D163" s="49" t="s">
        <v>943</v>
      </c>
      <c r="E163" s="49" t="s">
        <v>144</v>
      </c>
      <c r="F163" s="49" t="s">
        <v>296</v>
      </c>
      <c r="G163" s="31" t="s">
        <v>66</v>
      </c>
      <c r="H163" s="56" t="s">
        <v>67</v>
      </c>
      <c r="I163" s="32" t="s">
        <v>935</v>
      </c>
      <c r="J163" s="32" t="s">
        <v>152</v>
      </c>
      <c r="K163" s="33"/>
      <c r="L163" s="33" t="str">
        <f t="shared" ca="1" si="20"/>
        <v>DIVERGENTE</v>
      </c>
    </row>
    <row r="164" spans="1:12" ht="16.2" thickBot="1" x14ac:dyDescent="0.35">
      <c r="A164" s="29">
        <v>164</v>
      </c>
      <c r="B164" s="49" t="s">
        <v>1033</v>
      </c>
      <c r="C164" s="49" t="s">
        <v>944</v>
      </c>
      <c r="D164" s="31" t="s">
        <v>945</v>
      </c>
      <c r="E164" s="30" t="s">
        <v>946</v>
      </c>
      <c r="F164" s="31" t="s">
        <v>947</v>
      </c>
      <c r="G164" s="31" t="s">
        <v>147</v>
      </c>
      <c r="H164" s="31" t="s">
        <v>150</v>
      </c>
      <c r="I164" s="45" t="s">
        <v>153</v>
      </c>
      <c r="J164" s="32" t="s">
        <v>645</v>
      </c>
      <c r="K164" s="33"/>
      <c r="L164" s="33" t="str">
        <f t="shared" ca="1" si="20"/>
        <v>DIVERGENTE</v>
      </c>
    </row>
    <row r="165" spans="1:12" ht="16.2" thickBot="1" x14ac:dyDescent="0.35">
      <c r="A165" s="29">
        <v>165</v>
      </c>
      <c r="B165" s="49" t="s">
        <v>439</v>
      </c>
      <c r="C165" s="49"/>
      <c r="D165" s="49" t="s">
        <v>951</v>
      </c>
      <c r="E165" s="49" t="s">
        <v>144</v>
      </c>
      <c r="F165" s="49" t="s">
        <v>952</v>
      </c>
      <c r="G165" s="31" t="s">
        <v>66</v>
      </c>
      <c r="H165" s="56" t="s">
        <v>67</v>
      </c>
      <c r="I165" s="32" t="s">
        <v>935</v>
      </c>
      <c r="J165" s="32" t="s">
        <v>152</v>
      </c>
      <c r="K165" s="33"/>
      <c r="L165" s="33" t="str">
        <f t="shared" ref="L165:L166" ca="1" si="21">IF(K165&gt;$N$2,"ADEQUADO AO RISCO","DIVERGENTE")</f>
        <v>DIVERGENTE</v>
      </c>
    </row>
    <row r="166" spans="1:12" ht="16.2" thickBot="1" x14ac:dyDescent="0.35">
      <c r="A166" s="29">
        <v>166</v>
      </c>
      <c r="B166" s="49" t="s">
        <v>953</v>
      </c>
      <c r="C166" s="49" t="s">
        <v>956</v>
      </c>
      <c r="D166" s="49" t="s">
        <v>954</v>
      </c>
      <c r="E166" s="49" t="s">
        <v>955</v>
      </c>
      <c r="F166" s="31" t="s">
        <v>957</v>
      </c>
      <c r="G166" s="31" t="s">
        <v>147</v>
      </c>
      <c r="H166" s="31" t="s">
        <v>150</v>
      </c>
      <c r="I166" s="45" t="s">
        <v>153</v>
      </c>
      <c r="J166" s="32" t="s">
        <v>645</v>
      </c>
      <c r="K166" s="33"/>
      <c r="L166" s="33" t="str">
        <f t="shared" ca="1" si="21"/>
        <v>DIVERGENTE</v>
      </c>
    </row>
    <row r="167" spans="1:12" ht="16.2" thickBot="1" x14ac:dyDescent="0.35">
      <c r="A167" s="29">
        <v>167</v>
      </c>
      <c r="B167" s="49" t="s">
        <v>958</v>
      </c>
      <c r="C167" s="49" t="s">
        <v>959</v>
      </c>
      <c r="D167" s="49" t="s">
        <v>960</v>
      </c>
      <c r="E167" s="49" t="s">
        <v>961</v>
      </c>
      <c r="F167" s="31" t="s">
        <v>962</v>
      </c>
      <c r="G167" s="31" t="s">
        <v>147</v>
      </c>
      <c r="H167" s="31" t="s">
        <v>150</v>
      </c>
      <c r="I167" s="45" t="s">
        <v>153</v>
      </c>
      <c r="J167" s="32" t="s">
        <v>645</v>
      </c>
      <c r="K167" s="33"/>
      <c r="L167" s="33" t="str">
        <f t="shared" ref="L167:L168" ca="1" si="22">IF(K167&gt;$N$2,"ADEQUADO AO RISCO","DIVERGENTE")</f>
        <v>DIVERGENTE</v>
      </c>
    </row>
    <row r="168" spans="1:12" ht="16.2" thickBot="1" x14ac:dyDescent="0.35">
      <c r="A168" s="29">
        <v>168</v>
      </c>
      <c r="B168" s="49" t="s">
        <v>615</v>
      </c>
      <c r="C168" s="55" t="s">
        <v>963</v>
      </c>
      <c r="D168" s="55" t="s">
        <v>96</v>
      </c>
      <c r="E168" s="55" t="s">
        <v>30</v>
      </c>
      <c r="F168" s="24"/>
      <c r="G168" s="31">
        <v>0.75</v>
      </c>
      <c r="H168" s="56" t="s">
        <v>91</v>
      </c>
      <c r="I168" s="32" t="s">
        <v>964</v>
      </c>
      <c r="J168" s="32" t="s">
        <v>965</v>
      </c>
      <c r="K168" s="33"/>
      <c r="L168" s="33" t="str">
        <f t="shared" ca="1" si="22"/>
        <v>DIVERGENTE</v>
      </c>
    </row>
    <row r="169" spans="1:12" ht="16.2" thickBot="1" x14ac:dyDescent="0.35">
      <c r="A169" s="29">
        <v>169</v>
      </c>
      <c r="B169" s="49" t="s">
        <v>966</v>
      </c>
      <c r="C169" s="49"/>
      <c r="D169" s="49" t="s">
        <v>967</v>
      </c>
      <c r="E169" s="49" t="s">
        <v>968</v>
      </c>
      <c r="F169" s="31"/>
      <c r="G169" s="31" t="s">
        <v>147</v>
      </c>
      <c r="H169" s="31" t="s">
        <v>150</v>
      </c>
      <c r="I169" s="45" t="s">
        <v>153</v>
      </c>
      <c r="J169" s="32" t="s">
        <v>645</v>
      </c>
      <c r="K169" s="33"/>
      <c r="L169" s="33" t="str">
        <f t="shared" ref="L169" ca="1" si="23">IF(K169&gt;$N$2,"ADEQUADO AO RISCO","DIVERGENTE")</f>
        <v>DIVERGENTE</v>
      </c>
    </row>
    <row r="170" spans="1:12" ht="16.2" thickBot="1" x14ac:dyDescent="0.35">
      <c r="A170" s="29">
        <v>170</v>
      </c>
      <c r="B170" s="49" t="s">
        <v>970</v>
      </c>
      <c r="C170" s="49" t="s">
        <v>971</v>
      </c>
      <c r="D170" s="49" t="s">
        <v>972</v>
      </c>
      <c r="E170" s="49" t="s">
        <v>973</v>
      </c>
      <c r="F170" s="31" t="s">
        <v>975</v>
      </c>
      <c r="G170" s="31" t="s">
        <v>147</v>
      </c>
      <c r="H170" s="31" t="s">
        <v>150</v>
      </c>
      <c r="I170" s="45" t="s">
        <v>153</v>
      </c>
      <c r="J170" s="32" t="s">
        <v>974</v>
      </c>
      <c r="K170" s="33"/>
      <c r="L170" s="33" t="str">
        <f t="shared" ref="L170:L171" ca="1" si="24">IF(K170&gt;$N$2,"ADEQUADO AO RISCO","DIVERGENTE")</f>
        <v>DIVERGENTE</v>
      </c>
    </row>
    <row r="171" spans="1:12" ht="16.2" thickBot="1" x14ac:dyDescent="0.35">
      <c r="A171" s="29">
        <v>171</v>
      </c>
      <c r="B171" s="49" t="s">
        <v>977</v>
      </c>
      <c r="C171" s="49" t="s">
        <v>978</v>
      </c>
      <c r="D171" s="49" t="s">
        <v>979</v>
      </c>
      <c r="E171" s="49" t="s">
        <v>327</v>
      </c>
      <c r="F171" s="49" t="s">
        <v>1014</v>
      </c>
      <c r="G171" s="31" t="s">
        <v>66</v>
      </c>
      <c r="H171" s="31" t="s">
        <v>67</v>
      </c>
      <c r="I171" s="45" t="s">
        <v>68</v>
      </c>
      <c r="J171" s="32" t="s">
        <v>980</v>
      </c>
      <c r="K171" s="33"/>
      <c r="L171" s="33" t="str">
        <f t="shared" ca="1" si="24"/>
        <v>DIVERGENTE</v>
      </c>
    </row>
    <row r="172" spans="1:12" ht="16.2" thickBot="1" x14ac:dyDescent="0.35">
      <c r="A172" s="29">
        <v>172</v>
      </c>
      <c r="B172" s="49" t="s">
        <v>981</v>
      </c>
      <c r="C172" s="49" t="s">
        <v>982</v>
      </c>
      <c r="D172" s="49" t="s">
        <v>983</v>
      </c>
      <c r="E172" s="49" t="s">
        <v>327</v>
      </c>
      <c r="F172" s="31"/>
      <c r="G172" s="31" t="s">
        <v>47</v>
      </c>
      <c r="H172" s="31" t="s">
        <v>67</v>
      </c>
      <c r="I172" s="45" t="s">
        <v>68</v>
      </c>
      <c r="J172" s="32" t="s">
        <v>570</v>
      </c>
      <c r="K172" s="33"/>
      <c r="L172" s="33" t="str">
        <f t="shared" ref="L172:L175" ca="1" si="25">IF(K172&gt;$N$2,"ADEQUADO AO RISCO","DIVERGENTE")</f>
        <v>DIVERGENTE</v>
      </c>
    </row>
    <row r="173" spans="1:12" ht="16.2" thickBot="1" x14ac:dyDescent="0.35">
      <c r="A173" s="29">
        <v>173</v>
      </c>
      <c r="B173" s="49" t="s">
        <v>985</v>
      </c>
      <c r="C173" s="49" t="s">
        <v>986</v>
      </c>
      <c r="D173" s="49" t="s">
        <v>987</v>
      </c>
      <c r="E173" s="49" t="s">
        <v>988</v>
      </c>
      <c r="F173" s="31" t="s">
        <v>1149</v>
      </c>
      <c r="G173" s="31" t="s">
        <v>147</v>
      </c>
      <c r="H173" s="31" t="s">
        <v>167</v>
      </c>
      <c r="I173" s="45" t="s">
        <v>536</v>
      </c>
      <c r="J173" s="32" t="s">
        <v>533</v>
      </c>
      <c r="K173" s="33"/>
      <c r="L173" s="33" t="str">
        <f t="shared" ca="1" si="25"/>
        <v>DIVERGENTE</v>
      </c>
    </row>
    <row r="174" spans="1:12" ht="16.2" thickBot="1" x14ac:dyDescent="0.35">
      <c r="A174" s="29">
        <v>174</v>
      </c>
      <c r="B174" s="49" t="s">
        <v>989</v>
      </c>
      <c r="C174" s="49" t="s">
        <v>990</v>
      </c>
      <c r="D174" s="49" t="s">
        <v>991</v>
      </c>
      <c r="E174" s="49" t="s">
        <v>992</v>
      </c>
      <c r="F174" s="31" t="s">
        <v>993</v>
      </c>
      <c r="G174" s="31" t="s">
        <v>147</v>
      </c>
      <c r="H174" s="31" t="s">
        <v>150</v>
      </c>
      <c r="I174" s="45" t="s">
        <v>153</v>
      </c>
      <c r="J174" s="32" t="s">
        <v>533</v>
      </c>
      <c r="K174" s="33"/>
      <c r="L174" s="33" t="str">
        <f t="shared" ca="1" si="25"/>
        <v>DIVERGENTE</v>
      </c>
    </row>
    <row r="175" spans="1:12" ht="16.2" thickBot="1" x14ac:dyDescent="0.35">
      <c r="A175" s="29">
        <v>175</v>
      </c>
      <c r="B175" s="49" t="s">
        <v>994</v>
      </c>
      <c r="C175" s="49"/>
      <c r="D175" s="49" t="s">
        <v>995</v>
      </c>
      <c r="E175" s="49" t="s">
        <v>870</v>
      </c>
      <c r="F175" s="31"/>
      <c r="G175" s="31" t="s">
        <v>66</v>
      </c>
      <c r="H175" s="31" t="s">
        <v>531</v>
      </c>
      <c r="I175" s="45" t="s">
        <v>625</v>
      </c>
      <c r="J175" s="32" t="s">
        <v>996</v>
      </c>
      <c r="K175" s="33"/>
      <c r="L175" s="33" t="str">
        <f t="shared" ca="1" si="25"/>
        <v>DIVERGENTE</v>
      </c>
    </row>
    <row r="176" spans="1:12" ht="16.2" thickBot="1" x14ac:dyDescent="0.35">
      <c r="A176" s="29">
        <v>176</v>
      </c>
      <c r="B176" s="49" t="s">
        <v>997</v>
      </c>
      <c r="C176" s="49" t="s">
        <v>998</v>
      </c>
      <c r="D176" s="49" t="s">
        <v>999</v>
      </c>
      <c r="E176" s="49" t="s">
        <v>1000</v>
      </c>
      <c r="F176" s="31" t="s">
        <v>1001</v>
      </c>
      <c r="G176" s="31" t="s">
        <v>147</v>
      </c>
      <c r="H176" s="31" t="s">
        <v>150</v>
      </c>
      <c r="I176" s="45" t="s">
        <v>536</v>
      </c>
      <c r="J176" s="32" t="s">
        <v>533</v>
      </c>
      <c r="K176" s="33"/>
      <c r="L176" s="33" t="str">
        <f t="shared" ref="L176" ca="1" si="26">IF(K176&gt;$N$2,"ADEQUADO AO RISCO","DIVERGENTE")</f>
        <v>DIVERGENTE</v>
      </c>
    </row>
    <row r="177" spans="1:12" ht="16.2" thickBot="1" x14ac:dyDescent="0.35">
      <c r="A177" s="29">
        <v>177</v>
      </c>
      <c r="B177" s="49" t="s">
        <v>1004</v>
      </c>
      <c r="C177" s="49" t="s">
        <v>1005</v>
      </c>
      <c r="D177" s="49" t="s">
        <v>1006</v>
      </c>
      <c r="E177" s="49" t="s">
        <v>1007</v>
      </c>
      <c r="F177" s="31"/>
      <c r="G177" s="31" t="s">
        <v>147</v>
      </c>
      <c r="H177" s="31" t="s">
        <v>150</v>
      </c>
      <c r="I177" s="45" t="s">
        <v>536</v>
      </c>
      <c r="J177" s="32" t="s">
        <v>533</v>
      </c>
      <c r="K177" s="33"/>
      <c r="L177" s="33" t="str">
        <f t="shared" ref="L177:L178" ca="1" si="27">IF(K177&gt;$N$2,"ADEQUADO AO RISCO","DIVERGENTE")</f>
        <v>DIVERGENTE</v>
      </c>
    </row>
    <row r="178" spans="1:12" ht="16.2" thickBot="1" x14ac:dyDescent="0.35">
      <c r="A178" s="29">
        <v>178</v>
      </c>
      <c r="B178" s="49" t="s">
        <v>1010</v>
      </c>
      <c r="C178" s="55"/>
      <c r="D178" s="55" t="s">
        <v>1011</v>
      </c>
      <c r="E178" s="55" t="s">
        <v>327</v>
      </c>
      <c r="F178" s="24"/>
      <c r="G178" s="31">
        <v>0.75</v>
      </c>
      <c r="H178" s="56" t="s">
        <v>328</v>
      </c>
      <c r="I178" s="32" t="s">
        <v>101</v>
      </c>
      <c r="J178" s="32" t="s">
        <v>92</v>
      </c>
      <c r="K178" s="33"/>
      <c r="L178" s="33" t="str">
        <f t="shared" ca="1" si="27"/>
        <v>DIVERGENTE</v>
      </c>
    </row>
    <row r="179" spans="1:12" ht="16.2" thickBot="1" x14ac:dyDescent="0.35">
      <c r="A179" s="29">
        <v>179</v>
      </c>
      <c r="B179" s="49" t="s">
        <v>1013</v>
      </c>
      <c r="C179" s="49" t="s">
        <v>1014</v>
      </c>
      <c r="D179" s="49" t="s">
        <v>1015</v>
      </c>
      <c r="E179" s="49" t="s">
        <v>1016</v>
      </c>
      <c r="F179" s="31" t="s">
        <v>1017</v>
      </c>
      <c r="G179" s="31" t="s">
        <v>147</v>
      </c>
      <c r="H179" s="31" t="s">
        <v>150</v>
      </c>
      <c r="I179" s="45" t="s">
        <v>153</v>
      </c>
      <c r="J179" s="32" t="s">
        <v>533</v>
      </c>
      <c r="K179" s="33"/>
      <c r="L179" s="33" t="str">
        <f t="shared" ref="L179:L181" ca="1" si="28">IF(K179&gt;$N$2,"ADEQUADO AO RISCO","DIVERGENTE")</f>
        <v>DIVERGENTE</v>
      </c>
    </row>
    <row r="180" spans="1:12" ht="16.2" thickBot="1" x14ac:dyDescent="0.35">
      <c r="A180" s="29">
        <v>180</v>
      </c>
      <c r="B180" s="49" t="s">
        <v>1034</v>
      </c>
      <c r="C180" s="49" t="s">
        <v>1035</v>
      </c>
      <c r="D180" s="49" t="s">
        <v>1036</v>
      </c>
      <c r="E180" s="49" t="s">
        <v>327</v>
      </c>
      <c r="F180" s="31"/>
      <c r="G180" s="31" t="s">
        <v>66</v>
      </c>
      <c r="H180" s="31" t="s">
        <v>67</v>
      </c>
      <c r="I180" s="45" t="s">
        <v>68</v>
      </c>
      <c r="J180" s="32" t="s">
        <v>996</v>
      </c>
      <c r="K180" s="33"/>
      <c r="L180" s="33" t="str">
        <f t="shared" ca="1" si="28"/>
        <v>DIVERGENTE</v>
      </c>
    </row>
    <row r="181" spans="1:12" ht="16.2" thickBot="1" x14ac:dyDescent="0.35">
      <c r="A181" s="29">
        <v>181</v>
      </c>
      <c r="B181" s="49" t="s">
        <v>1122</v>
      </c>
      <c r="C181" s="49" t="s">
        <v>1123</v>
      </c>
      <c r="D181" s="49" t="s">
        <v>1124</v>
      </c>
      <c r="E181" s="49" t="s">
        <v>870</v>
      </c>
      <c r="F181" s="31"/>
      <c r="G181" s="31" t="s">
        <v>66</v>
      </c>
      <c r="H181" s="31" t="s">
        <v>621</v>
      </c>
      <c r="I181" s="45" t="s">
        <v>294</v>
      </c>
      <c r="J181" s="32" t="s">
        <v>996</v>
      </c>
      <c r="K181" s="33"/>
      <c r="L181" s="33" t="str">
        <f t="shared" ca="1" si="28"/>
        <v>DIVERGENTE</v>
      </c>
    </row>
    <row r="182" spans="1:12" ht="16.2" thickBot="1" x14ac:dyDescent="0.35">
      <c r="A182" s="29">
        <v>182</v>
      </c>
      <c r="B182" s="49" t="s">
        <v>1125</v>
      </c>
      <c r="C182" s="49" t="s">
        <v>1126</v>
      </c>
      <c r="D182" s="49" t="s">
        <v>1127</v>
      </c>
      <c r="E182" s="49" t="s">
        <v>1128</v>
      </c>
      <c r="F182" s="31" t="s">
        <v>1129</v>
      </c>
      <c r="G182" s="31" t="s">
        <v>147</v>
      </c>
      <c r="H182" s="31" t="s">
        <v>167</v>
      </c>
      <c r="I182" s="45" t="s">
        <v>536</v>
      </c>
      <c r="J182" s="32" t="s">
        <v>533</v>
      </c>
      <c r="K182" s="33"/>
      <c r="L182" s="33" t="str">
        <f t="shared" ref="L182" ca="1" si="29">IF(K182&gt;$N$2,"ADEQUADO AO RISCO","DIVERGENTE")</f>
        <v>DIVERGENTE</v>
      </c>
    </row>
    <row r="183" spans="1:12" ht="16.2" thickBot="1" x14ac:dyDescent="0.35">
      <c r="A183" s="29">
        <v>183</v>
      </c>
      <c r="B183" s="49" t="s">
        <v>1130</v>
      </c>
      <c r="C183" s="49" t="s">
        <v>1131</v>
      </c>
      <c r="D183" s="49" t="s">
        <v>1132</v>
      </c>
      <c r="E183" s="49" t="s">
        <v>1133</v>
      </c>
      <c r="F183" s="31" t="s">
        <v>1134</v>
      </c>
      <c r="G183" s="31" t="s">
        <v>147</v>
      </c>
      <c r="H183" s="31" t="s">
        <v>167</v>
      </c>
      <c r="I183" s="45" t="s">
        <v>536</v>
      </c>
      <c r="J183" s="32" t="s">
        <v>533</v>
      </c>
      <c r="K183" s="33"/>
      <c r="L183" s="33" t="str">
        <f t="shared" ref="L183" ca="1" si="30">IF(K183&gt;$N$2,"ADEQUADO AO RISCO","DIVERGENTE")</f>
        <v>DIVERGENTE</v>
      </c>
    </row>
    <row r="184" spans="1:12" ht="16.2" thickBot="1" x14ac:dyDescent="0.35">
      <c r="A184" s="29">
        <v>184</v>
      </c>
      <c r="B184" s="49" t="s">
        <v>1140</v>
      </c>
      <c r="C184" s="49" t="s">
        <v>1141</v>
      </c>
      <c r="D184" s="49" t="s">
        <v>1142</v>
      </c>
      <c r="E184" s="49" t="s">
        <v>1143</v>
      </c>
      <c r="F184" s="31"/>
      <c r="G184" s="31" t="s">
        <v>147</v>
      </c>
      <c r="H184" s="31" t="s">
        <v>167</v>
      </c>
      <c r="I184" s="45" t="s">
        <v>536</v>
      </c>
      <c r="J184" s="32" t="s">
        <v>533</v>
      </c>
      <c r="K184" s="33"/>
      <c r="L184" s="33" t="str">
        <f t="shared" ref="L184:L185" ca="1" si="31">IF(K184&gt;$N$2,"ADEQUADO AO RISCO","DIVERGENTE")</f>
        <v>DIVERGENTE</v>
      </c>
    </row>
    <row r="185" spans="1:12" ht="16.2" thickBot="1" x14ac:dyDescent="0.35">
      <c r="A185" s="29">
        <v>185</v>
      </c>
      <c r="B185" s="49" t="s">
        <v>1144</v>
      </c>
      <c r="C185" s="49" t="s">
        <v>1145</v>
      </c>
      <c r="D185" s="49" t="s">
        <v>1146</v>
      </c>
      <c r="E185" s="49" t="s">
        <v>327</v>
      </c>
      <c r="F185" s="31" t="s">
        <v>1147</v>
      </c>
      <c r="G185" s="31" t="s">
        <v>47</v>
      </c>
      <c r="H185" s="31" t="s">
        <v>149</v>
      </c>
      <c r="I185" s="45" t="s">
        <v>68</v>
      </c>
      <c r="J185" s="32" t="s">
        <v>570</v>
      </c>
      <c r="K185" s="33"/>
      <c r="L185" s="33" t="str">
        <f t="shared" ca="1" si="31"/>
        <v>DIVERGENTE</v>
      </c>
    </row>
  </sheetData>
  <phoneticPr fontId="8" type="noConversion"/>
  <conditionalFormatting sqref="L2:L142">
    <cfRule type="containsText" dxfId="3" priority="15" operator="containsText" text="DIVERGENTE">
      <formula>NOT(ISERROR(SEARCH("DIVERGENTE",L2)))</formula>
    </cfRule>
    <cfRule type="containsText" dxfId="2" priority="16" operator="containsText" text="ADEQUADO AO RISCO">
      <formula>NOT(ISERROR(SEARCH("ADEQUADO AO RISCO",L2)))</formula>
    </cfRule>
  </conditionalFormatting>
  <conditionalFormatting sqref="L145:L185">
    <cfRule type="containsText" dxfId="1" priority="1" operator="containsText" text="DIVERGENTE">
      <formula>NOT(ISERROR(SEARCH("DIVERGENTE",L145)))</formula>
    </cfRule>
    <cfRule type="containsText" dxfId="0" priority="2" operator="containsText" text="ADEQUADO AO RISCO">
      <formula>NOT(ISERROR(SEARCH("ADEQUADO AO RISCO",L145)))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 filterMode="1"/>
  <dimension ref="A1:R63"/>
  <sheetViews>
    <sheetView tabSelected="1" workbookViewId="0">
      <selection activeCell="J62" sqref="J62"/>
    </sheetView>
  </sheetViews>
  <sheetFormatPr defaultRowHeight="14.4" x14ac:dyDescent="0.3"/>
  <cols>
    <col min="1" max="1" width="4" style="16" customWidth="1"/>
    <col min="2" max="2" width="25.6640625" bestFit="1" customWidth="1"/>
    <col min="3" max="3" width="11.88671875" bestFit="1" customWidth="1"/>
    <col min="4" max="4" width="10.109375" bestFit="1" customWidth="1"/>
    <col min="5" max="5" width="21.109375" customWidth="1"/>
    <col min="6" max="6" width="16.5546875" bestFit="1" customWidth="1"/>
    <col min="7" max="7" width="15" customWidth="1"/>
    <col min="8" max="8" width="8.77734375" customWidth="1"/>
    <col min="9" max="9" width="13.77734375" bestFit="1" customWidth="1"/>
    <col min="10" max="10" width="18.21875" bestFit="1" customWidth="1"/>
    <col min="11" max="11" width="18.6640625" customWidth="1"/>
    <col min="12" max="12" width="14.21875" customWidth="1"/>
    <col min="13" max="13" width="16.109375" bestFit="1" customWidth="1"/>
    <col min="14" max="14" width="19.33203125" bestFit="1" customWidth="1"/>
    <col min="15" max="15" width="16.21875" style="16" bestFit="1" customWidth="1"/>
    <col min="16" max="16" width="16.33203125" style="16" bestFit="1" customWidth="1"/>
    <col min="17" max="18" width="8.88671875" style="16"/>
  </cols>
  <sheetData>
    <row r="1" spans="1:18" s="16" customFormat="1" x14ac:dyDescent="0.3"/>
    <row r="2" spans="1:18" x14ac:dyDescent="0.3">
      <c r="B2" s="11" t="s">
        <v>161</v>
      </c>
      <c r="C2" s="11" t="s">
        <v>162</v>
      </c>
      <c r="D2" s="11" t="s">
        <v>163</v>
      </c>
      <c r="E2" s="11" t="s">
        <v>223</v>
      </c>
      <c r="F2" s="11" t="s">
        <v>261</v>
      </c>
      <c r="G2" s="11" t="s">
        <v>1039</v>
      </c>
      <c r="H2" s="11" t="s">
        <v>260</v>
      </c>
      <c r="I2" s="11" t="s">
        <v>234</v>
      </c>
      <c r="J2" s="11" t="s">
        <v>259</v>
      </c>
      <c r="K2" s="11" t="s">
        <v>257</v>
      </c>
      <c r="L2" s="11" t="s">
        <v>258</v>
      </c>
      <c r="M2" s="11" t="s">
        <v>921</v>
      </c>
      <c r="N2" s="11" t="s">
        <v>635</v>
      </c>
      <c r="P2" s="12"/>
    </row>
    <row r="3" spans="1:18" hidden="1" x14ac:dyDescent="0.3">
      <c r="B3" s="15" t="s">
        <v>931</v>
      </c>
      <c r="C3" s="19" t="s">
        <v>138</v>
      </c>
      <c r="D3" s="19" t="s">
        <v>66</v>
      </c>
      <c r="E3" s="27"/>
      <c r="F3" s="25"/>
      <c r="G3" s="25"/>
      <c r="H3" s="26"/>
      <c r="I3" s="87"/>
      <c r="J3" s="25"/>
      <c r="K3" s="25">
        <v>73</v>
      </c>
      <c r="L3" s="26">
        <f t="shared" ref="L3:L8" si="0">(H3/K3)*100</f>
        <v>0</v>
      </c>
      <c r="M3" s="26"/>
      <c r="N3" s="67" t="e">
        <f t="shared" ref="N3:N8" si="1">1-(M3/J3)</f>
        <v>#DIV/0!</v>
      </c>
    </row>
    <row r="4" spans="1:18" x14ac:dyDescent="0.3">
      <c r="B4" s="15" t="s">
        <v>1151</v>
      </c>
      <c r="C4" s="19" t="s">
        <v>133</v>
      </c>
      <c r="D4" s="22">
        <v>0.75</v>
      </c>
      <c r="E4" s="27" t="s">
        <v>1167</v>
      </c>
      <c r="F4" s="25">
        <v>12</v>
      </c>
      <c r="G4" s="26">
        <v>7502.7189999999991</v>
      </c>
      <c r="H4" s="26">
        <v>25.212113333333335</v>
      </c>
      <c r="I4" s="87">
        <v>1147</v>
      </c>
      <c r="J4" s="26">
        <v>6076.05</v>
      </c>
      <c r="K4" s="25">
        <v>30</v>
      </c>
      <c r="L4" s="26">
        <f t="shared" si="0"/>
        <v>84.040377777777792</v>
      </c>
      <c r="M4" s="26">
        <v>2151.66</v>
      </c>
      <c r="N4" s="67">
        <f t="shared" si="1"/>
        <v>0.6458784901375072</v>
      </c>
    </row>
    <row r="5" spans="1:18" hidden="1" x14ac:dyDescent="0.3">
      <c r="B5" s="15" t="s">
        <v>1018</v>
      </c>
      <c r="C5" s="19" t="s">
        <v>143</v>
      </c>
      <c r="D5" s="19" t="s">
        <v>47</v>
      </c>
      <c r="E5" s="27"/>
      <c r="F5" s="25"/>
      <c r="G5" s="26"/>
      <c r="H5" s="26"/>
      <c r="I5" s="87"/>
      <c r="J5" s="26"/>
      <c r="K5" s="25">
        <v>40</v>
      </c>
      <c r="L5" s="26">
        <f t="shared" si="0"/>
        <v>0</v>
      </c>
      <c r="M5" s="26"/>
      <c r="N5" s="67" t="e">
        <f t="shared" si="1"/>
        <v>#DIV/0!</v>
      </c>
      <c r="O5"/>
      <c r="P5"/>
      <c r="Q5"/>
      <c r="R5"/>
    </row>
    <row r="6" spans="1:18" hidden="1" x14ac:dyDescent="0.3">
      <c r="B6" s="15" t="s">
        <v>1038</v>
      </c>
      <c r="C6" s="19" t="s">
        <v>142</v>
      </c>
      <c r="D6" s="19" t="s">
        <v>66</v>
      </c>
      <c r="E6" s="27"/>
      <c r="F6" s="25"/>
      <c r="G6" s="26"/>
      <c r="H6" s="26"/>
      <c r="I6" s="87"/>
      <c r="J6" s="26"/>
      <c r="K6" s="25">
        <v>55</v>
      </c>
      <c r="L6" s="26">
        <f t="shared" si="0"/>
        <v>0</v>
      </c>
      <c r="M6" s="26"/>
      <c r="N6" s="67" t="e">
        <f t="shared" si="1"/>
        <v>#DIV/0!</v>
      </c>
    </row>
    <row r="7" spans="1:18" hidden="1" x14ac:dyDescent="0.3">
      <c r="B7" s="15" t="s">
        <v>910</v>
      </c>
      <c r="C7" s="19" t="s">
        <v>141</v>
      </c>
      <c r="D7" s="19" t="s">
        <v>47</v>
      </c>
      <c r="E7" s="27"/>
      <c r="F7" s="25"/>
      <c r="G7" s="26"/>
      <c r="H7" s="26"/>
      <c r="I7" s="87"/>
      <c r="J7" s="26"/>
      <c r="K7" s="25">
        <v>55</v>
      </c>
      <c r="L7" s="26">
        <f t="shared" si="0"/>
        <v>0</v>
      </c>
      <c r="M7" s="26"/>
      <c r="N7" s="67" t="e">
        <f t="shared" si="1"/>
        <v>#DIV/0!</v>
      </c>
      <c r="O7"/>
      <c r="P7"/>
      <c r="Q7"/>
      <c r="R7"/>
    </row>
    <row r="8" spans="1:18" hidden="1" x14ac:dyDescent="0.3">
      <c r="B8" s="15" t="s">
        <v>130</v>
      </c>
      <c r="C8" s="19" t="s">
        <v>139</v>
      </c>
      <c r="D8" s="19" t="s">
        <v>147</v>
      </c>
      <c r="E8" s="27"/>
      <c r="F8" s="77"/>
      <c r="G8" s="26"/>
      <c r="H8" s="26"/>
      <c r="I8" s="87"/>
      <c r="J8" s="26"/>
      <c r="K8" s="25">
        <v>100</v>
      </c>
      <c r="L8" s="26">
        <f t="shared" si="0"/>
        <v>0</v>
      </c>
      <c r="M8" s="26"/>
      <c r="N8" s="67" t="e">
        <f t="shared" si="1"/>
        <v>#DIV/0!</v>
      </c>
      <c r="O8"/>
      <c r="P8"/>
      <c r="Q8"/>
      <c r="R8"/>
    </row>
    <row r="9" spans="1:18" hidden="1" x14ac:dyDescent="0.3">
      <c r="B9" s="15" t="s">
        <v>182</v>
      </c>
      <c r="C9" s="19" t="s">
        <v>136</v>
      </c>
      <c r="D9" s="19" t="s">
        <v>66</v>
      </c>
      <c r="E9" s="27"/>
      <c r="F9" s="25"/>
      <c r="G9" s="26"/>
      <c r="H9" s="26"/>
      <c r="I9" s="87"/>
      <c r="J9" s="26"/>
      <c r="K9" s="25">
        <v>73</v>
      </c>
      <c r="L9" s="26">
        <f t="shared" ref="L9:L16" si="2">(H9/K9)*100</f>
        <v>0</v>
      </c>
      <c r="M9" s="26"/>
      <c r="N9" s="67" t="e">
        <f t="shared" ref="N9:N16" si="3">1-(M9/J9)</f>
        <v>#DIV/0!</v>
      </c>
    </row>
    <row r="10" spans="1:18" hidden="1" x14ac:dyDescent="0.3">
      <c r="A10"/>
      <c r="B10" s="15" t="s">
        <v>290</v>
      </c>
      <c r="C10" s="19" t="s">
        <v>140</v>
      </c>
      <c r="D10" s="19" t="s">
        <v>66</v>
      </c>
      <c r="E10" s="27"/>
      <c r="F10" s="25"/>
      <c r="G10" s="26"/>
      <c r="H10" s="26"/>
      <c r="I10" s="87"/>
      <c r="J10" s="26"/>
      <c r="K10" s="25">
        <v>71</v>
      </c>
      <c r="L10" s="26">
        <f t="shared" si="2"/>
        <v>0</v>
      </c>
      <c r="M10" s="26"/>
      <c r="N10" s="67" t="e">
        <f t="shared" si="3"/>
        <v>#DIV/0!</v>
      </c>
    </row>
    <row r="11" spans="1:18" hidden="1" x14ac:dyDescent="0.3">
      <c r="B11" s="15" t="s">
        <v>331</v>
      </c>
      <c r="C11" s="19" t="s">
        <v>183</v>
      </c>
      <c r="D11" s="19" t="s">
        <v>47</v>
      </c>
      <c r="E11" s="27"/>
      <c r="F11" s="25"/>
      <c r="G11" s="26"/>
      <c r="H11" s="26"/>
      <c r="I11" s="87"/>
      <c r="J11" s="26"/>
      <c r="K11" s="25">
        <v>50</v>
      </c>
      <c r="L11" s="26">
        <f t="shared" si="2"/>
        <v>0</v>
      </c>
      <c r="M11" s="26"/>
      <c r="N11" s="67" t="e">
        <f t="shared" si="3"/>
        <v>#DIV/0!</v>
      </c>
      <c r="O11" s="61"/>
    </row>
    <row r="12" spans="1:18" hidden="1" x14ac:dyDescent="0.3">
      <c r="A12"/>
      <c r="B12" s="15" t="s">
        <v>1003</v>
      </c>
      <c r="C12" s="19" t="s">
        <v>156</v>
      </c>
      <c r="D12" s="22">
        <v>0.75</v>
      </c>
      <c r="E12" s="27"/>
      <c r="F12" s="25"/>
      <c r="G12" s="26"/>
      <c r="H12" s="26"/>
      <c r="I12" s="87"/>
      <c r="J12" s="26"/>
      <c r="K12" s="25">
        <v>30</v>
      </c>
      <c r="L12" s="26">
        <f t="shared" si="2"/>
        <v>0</v>
      </c>
      <c r="M12" s="26"/>
      <c r="N12" s="67" t="e">
        <f t="shared" si="3"/>
        <v>#DIV/0!</v>
      </c>
    </row>
    <row r="13" spans="1:18" hidden="1" x14ac:dyDescent="0.3">
      <c r="A13"/>
      <c r="B13" s="15" t="s">
        <v>1151</v>
      </c>
      <c r="C13" s="19" t="s">
        <v>131</v>
      </c>
      <c r="D13" s="22">
        <v>0.75</v>
      </c>
      <c r="E13" s="27"/>
      <c r="F13" s="25"/>
      <c r="G13" s="25"/>
      <c r="H13" s="26"/>
      <c r="I13" s="87"/>
      <c r="J13" s="25"/>
      <c r="K13" s="25">
        <v>18</v>
      </c>
      <c r="L13" s="26">
        <f t="shared" si="2"/>
        <v>0</v>
      </c>
      <c r="M13" s="26"/>
      <c r="N13" s="67" t="e">
        <f t="shared" si="3"/>
        <v>#DIV/0!</v>
      </c>
      <c r="O13"/>
      <c r="P13"/>
      <c r="Q13"/>
      <c r="R13"/>
    </row>
    <row r="14" spans="1:18" hidden="1" x14ac:dyDescent="0.3">
      <c r="B14" s="15" t="s">
        <v>1121</v>
      </c>
      <c r="C14" s="19" t="s">
        <v>134</v>
      </c>
      <c r="D14" s="19" t="s">
        <v>146</v>
      </c>
      <c r="E14" s="27"/>
      <c r="F14" s="25"/>
      <c r="G14" s="26"/>
      <c r="H14" s="26"/>
      <c r="I14" s="87"/>
      <c r="J14" s="25"/>
      <c r="K14" s="25">
        <v>10</v>
      </c>
      <c r="L14" s="26">
        <f t="shared" si="2"/>
        <v>0</v>
      </c>
      <c r="M14" s="26"/>
      <c r="N14" s="67" t="e">
        <f t="shared" si="3"/>
        <v>#DIV/0!</v>
      </c>
      <c r="O14"/>
      <c r="P14"/>
      <c r="Q14"/>
      <c r="R14"/>
    </row>
    <row r="15" spans="1:18" hidden="1" x14ac:dyDescent="0.3">
      <c r="B15" s="15" t="s">
        <v>1166</v>
      </c>
      <c r="C15" s="19" t="s">
        <v>896</v>
      </c>
      <c r="D15" s="19" t="s">
        <v>897</v>
      </c>
      <c r="E15" s="27"/>
      <c r="F15" s="25"/>
      <c r="G15" s="26"/>
      <c r="H15" s="26"/>
      <c r="I15" s="87"/>
      <c r="J15" s="25"/>
      <c r="K15" s="25">
        <v>2.5</v>
      </c>
      <c r="L15" s="26">
        <f t="shared" si="2"/>
        <v>0</v>
      </c>
      <c r="M15" s="26"/>
      <c r="N15" s="67" t="e">
        <f t="shared" si="3"/>
        <v>#DIV/0!</v>
      </c>
      <c r="O15"/>
      <c r="P15"/>
      <c r="Q15"/>
      <c r="R15"/>
    </row>
    <row r="16" spans="1:18" hidden="1" x14ac:dyDescent="0.3">
      <c r="B16" s="15" t="s">
        <v>1148</v>
      </c>
      <c r="C16" s="19" t="s">
        <v>332</v>
      </c>
      <c r="D16" s="22">
        <v>0.75</v>
      </c>
      <c r="E16" s="27"/>
      <c r="F16" s="25"/>
      <c r="G16" s="26"/>
      <c r="H16" s="26"/>
      <c r="I16" s="87"/>
      <c r="J16" s="26"/>
      <c r="K16" s="25">
        <v>25</v>
      </c>
      <c r="L16" s="26">
        <f t="shared" si="2"/>
        <v>0</v>
      </c>
      <c r="M16" s="26"/>
      <c r="N16" s="67" t="e">
        <f t="shared" si="3"/>
        <v>#DIV/0!</v>
      </c>
    </row>
    <row r="17" spans="2:18" hidden="1" x14ac:dyDescent="0.3">
      <c r="B17" s="15" t="s">
        <v>948</v>
      </c>
      <c r="C17" s="19" t="s">
        <v>132</v>
      </c>
      <c r="D17" s="22" t="s">
        <v>66</v>
      </c>
      <c r="E17" s="27"/>
      <c r="F17" s="25"/>
      <c r="G17" s="26"/>
      <c r="H17" s="26"/>
      <c r="I17" s="87"/>
      <c r="J17" s="25"/>
      <c r="K17" s="77">
        <v>80</v>
      </c>
      <c r="L17" s="26">
        <f>(H17/K17)*100</f>
        <v>0</v>
      </c>
      <c r="M17" s="26"/>
      <c r="N17" s="67" t="e">
        <f>1-(M17/J17)</f>
        <v>#DIV/0!</v>
      </c>
      <c r="O17"/>
      <c r="P17"/>
      <c r="Q17"/>
      <c r="R17"/>
    </row>
    <row r="18" spans="2:18" hidden="1" x14ac:dyDescent="0.3">
      <c r="B18" s="15" t="s">
        <v>1031</v>
      </c>
      <c r="C18" s="19" t="s">
        <v>934</v>
      </c>
      <c r="D18" s="22" t="s">
        <v>66</v>
      </c>
      <c r="E18" s="27"/>
      <c r="F18" s="25"/>
      <c r="G18" s="26"/>
      <c r="H18" s="26"/>
      <c r="I18" s="87"/>
      <c r="J18" s="25"/>
      <c r="K18" s="77">
        <v>52</v>
      </c>
      <c r="L18" s="26">
        <f>(H18/K18)*100</f>
        <v>0</v>
      </c>
      <c r="M18" s="26"/>
      <c r="N18" s="67" t="e">
        <f t="shared" ref="N18" si="4">1-(M18/J18)</f>
        <v>#DIV/0!</v>
      </c>
      <c r="O18"/>
      <c r="P18"/>
      <c r="Q18"/>
      <c r="R18"/>
    </row>
    <row r="19" spans="2:18" hidden="1" x14ac:dyDescent="0.3">
      <c r="B19" s="15" t="s">
        <v>237</v>
      </c>
      <c r="C19" s="19" t="s">
        <v>943</v>
      </c>
      <c r="D19" s="22" t="s">
        <v>66</v>
      </c>
      <c r="E19" s="27"/>
      <c r="F19" s="25"/>
      <c r="G19" s="26"/>
      <c r="H19" s="26"/>
      <c r="I19" s="87"/>
      <c r="J19" s="25"/>
      <c r="K19" s="77">
        <v>52</v>
      </c>
      <c r="L19" s="26">
        <f>(H19/K19)*100</f>
        <v>0</v>
      </c>
      <c r="M19" s="26"/>
      <c r="N19" s="67" t="e">
        <f t="shared" ref="N19" si="5">1-(M19/J19)</f>
        <v>#DIV/0!</v>
      </c>
      <c r="O19"/>
      <c r="P19"/>
      <c r="Q19"/>
      <c r="R19"/>
    </row>
    <row r="20" spans="2:18" hidden="1" x14ac:dyDescent="0.3">
      <c r="B20" s="15" t="s">
        <v>693</v>
      </c>
      <c r="C20" s="19" t="s">
        <v>951</v>
      </c>
      <c r="D20" s="22" t="s">
        <v>66</v>
      </c>
      <c r="E20" s="27"/>
      <c r="F20" s="25"/>
      <c r="G20" s="26"/>
      <c r="H20" s="26"/>
      <c r="I20" s="87"/>
      <c r="J20" s="25"/>
      <c r="K20" s="77">
        <v>52</v>
      </c>
      <c r="L20" s="26">
        <f>(H20/K20)*100</f>
        <v>0</v>
      </c>
      <c r="M20" s="26"/>
      <c r="N20" s="67" t="e">
        <f t="shared" ref="N20" si="6">1-(M20/J20)</f>
        <v>#DIV/0!</v>
      </c>
      <c r="O20"/>
      <c r="P20"/>
      <c r="Q20"/>
      <c r="R20"/>
    </row>
    <row r="21" spans="2:18" s="16" customFormat="1" hidden="1" x14ac:dyDescent="0.3">
      <c r="B21" s="12"/>
      <c r="C21" s="13"/>
      <c r="D21" s="12"/>
      <c r="E21" s="13"/>
      <c r="F21" s="59"/>
      <c r="G21" s="59"/>
      <c r="H21" s="59"/>
      <c r="I21" s="59"/>
      <c r="J21" s="59"/>
      <c r="K21" s="12"/>
      <c r="M21" s="18"/>
      <c r="N21" s="18"/>
      <c r="O21" s="12"/>
    </row>
    <row r="22" spans="2:18" s="16" customFormat="1" hidden="1" x14ac:dyDescent="0.3">
      <c r="B22" s="11" t="s">
        <v>786</v>
      </c>
      <c r="C22" s="11" t="s">
        <v>162</v>
      </c>
      <c r="D22" s="11" t="s">
        <v>163</v>
      </c>
      <c r="F22" s="12"/>
      <c r="G22" s="12"/>
      <c r="H22" s="12"/>
      <c r="I22" s="12"/>
      <c r="J22" s="12"/>
    </row>
    <row r="23" spans="2:18" hidden="1" x14ac:dyDescent="0.3">
      <c r="B23" s="27" t="s">
        <v>768</v>
      </c>
      <c r="C23" s="20" t="s">
        <v>764</v>
      </c>
      <c r="D23" s="21">
        <v>46115</v>
      </c>
      <c r="E23" s="64"/>
      <c r="F23" s="25"/>
      <c r="G23" s="25"/>
      <c r="H23" s="25"/>
      <c r="I23" s="25"/>
      <c r="J23" s="25"/>
      <c r="K23" s="25">
        <v>30</v>
      </c>
      <c r="L23" s="26">
        <f t="shared" ref="L23:L33" si="7">(H23/K23)*100</f>
        <v>0</v>
      </c>
      <c r="M23" s="26"/>
      <c r="N23" s="67" t="e">
        <f t="shared" ref="N23:N29" si="8">1-(M23/J23)</f>
        <v>#DIV/0!</v>
      </c>
    </row>
    <row r="24" spans="2:18" hidden="1" x14ac:dyDescent="0.3">
      <c r="B24" s="27" t="s">
        <v>834</v>
      </c>
      <c r="C24" s="20"/>
      <c r="D24" s="19" t="s">
        <v>147</v>
      </c>
      <c r="E24" s="64"/>
      <c r="F24" s="25"/>
      <c r="G24" s="26"/>
      <c r="H24" s="26"/>
      <c r="I24" s="26"/>
      <c r="J24" s="26"/>
      <c r="K24" s="25">
        <v>100</v>
      </c>
      <c r="L24" s="26">
        <f t="shared" si="7"/>
        <v>0</v>
      </c>
      <c r="M24" s="26"/>
      <c r="N24" s="67" t="e">
        <f t="shared" si="8"/>
        <v>#DIV/0!</v>
      </c>
    </row>
    <row r="25" spans="2:18" hidden="1" x14ac:dyDescent="0.3">
      <c r="B25" s="27" t="s">
        <v>330</v>
      </c>
      <c r="C25" s="20" t="s">
        <v>184</v>
      </c>
      <c r="D25" s="22">
        <v>0.75</v>
      </c>
      <c r="E25" s="27"/>
      <c r="F25" s="25"/>
      <c r="G25" s="26"/>
      <c r="H25" s="26"/>
      <c r="I25" s="26"/>
      <c r="J25" s="26"/>
      <c r="K25" s="25">
        <v>26</v>
      </c>
      <c r="L25" s="26">
        <f>(H25/K25)*100</f>
        <v>0</v>
      </c>
      <c r="M25" s="26"/>
      <c r="N25" s="67" t="e">
        <f t="shared" si="8"/>
        <v>#DIV/0!</v>
      </c>
    </row>
    <row r="26" spans="2:18" hidden="1" x14ac:dyDescent="0.3">
      <c r="B26" s="27" t="s">
        <v>1120</v>
      </c>
      <c r="C26" s="20" t="s">
        <v>1041</v>
      </c>
      <c r="D26" s="22">
        <v>0.75</v>
      </c>
      <c r="E26" s="27"/>
      <c r="F26" s="25"/>
      <c r="G26" s="25"/>
      <c r="H26" s="26"/>
      <c r="I26" s="26"/>
      <c r="J26" s="26"/>
      <c r="K26" s="25">
        <v>30</v>
      </c>
      <c r="L26" s="26">
        <f t="shared" si="7"/>
        <v>0</v>
      </c>
      <c r="M26" s="26"/>
      <c r="N26" s="67" t="e">
        <f t="shared" si="8"/>
        <v>#DIV/0!</v>
      </c>
      <c r="O26" s="17"/>
    </row>
    <row r="27" spans="2:18" hidden="1" x14ac:dyDescent="0.3">
      <c r="B27" s="27" t="s">
        <v>530</v>
      </c>
      <c r="C27" s="20" t="s">
        <v>159</v>
      </c>
      <c r="D27" s="19" t="s">
        <v>47</v>
      </c>
      <c r="E27" s="27"/>
      <c r="F27" s="25"/>
      <c r="G27" s="26"/>
      <c r="H27" s="26"/>
      <c r="I27" s="26"/>
      <c r="J27" s="26"/>
      <c r="K27" s="25">
        <v>45</v>
      </c>
      <c r="L27" s="26">
        <f t="shared" si="7"/>
        <v>0</v>
      </c>
      <c r="M27" s="26"/>
      <c r="N27" s="67" t="e">
        <f t="shared" si="8"/>
        <v>#DIV/0!</v>
      </c>
    </row>
    <row r="28" spans="2:18" hidden="1" x14ac:dyDescent="0.3">
      <c r="B28" s="27" t="s">
        <v>1138</v>
      </c>
      <c r="C28" s="19"/>
      <c r="D28" s="19" t="s">
        <v>66</v>
      </c>
      <c r="E28" s="27"/>
      <c r="F28" s="25"/>
      <c r="G28" s="26"/>
      <c r="H28" s="26"/>
      <c r="I28" s="26"/>
      <c r="J28" s="25"/>
      <c r="K28" s="25">
        <v>50</v>
      </c>
      <c r="L28" s="26">
        <f t="shared" si="7"/>
        <v>0</v>
      </c>
      <c r="M28" s="26"/>
      <c r="N28" s="67" t="e">
        <f t="shared" si="8"/>
        <v>#DIV/0!</v>
      </c>
    </row>
    <row r="29" spans="2:18" hidden="1" x14ac:dyDescent="0.3">
      <c r="B29" s="27" t="s">
        <v>1139</v>
      </c>
      <c r="C29" s="19"/>
      <c r="D29" s="22">
        <v>0.75</v>
      </c>
      <c r="E29" s="27"/>
      <c r="F29" s="25"/>
      <c r="G29" s="25"/>
      <c r="H29" s="25"/>
      <c r="I29" s="25"/>
      <c r="J29" s="25"/>
      <c r="K29" s="25">
        <v>30</v>
      </c>
      <c r="L29" s="26">
        <f t="shared" si="7"/>
        <v>0</v>
      </c>
      <c r="M29" s="26"/>
      <c r="N29" s="67" t="e">
        <f t="shared" si="8"/>
        <v>#DIV/0!</v>
      </c>
      <c r="O29" s="17"/>
    </row>
    <row r="30" spans="2:18" hidden="1" x14ac:dyDescent="0.3">
      <c r="B30" s="27" t="s">
        <v>759</v>
      </c>
      <c r="C30" s="19" t="s">
        <v>107</v>
      </c>
      <c r="D30" s="19" t="s">
        <v>66</v>
      </c>
      <c r="E30" s="64"/>
      <c r="F30" s="25"/>
      <c r="G30" s="25"/>
      <c r="H30" s="25"/>
      <c r="I30" s="25"/>
      <c r="J30" s="25"/>
      <c r="K30" s="25">
        <v>45</v>
      </c>
      <c r="L30" s="26">
        <f t="shared" si="7"/>
        <v>0</v>
      </c>
      <c r="M30" s="26"/>
      <c r="N30" s="67" t="e">
        <f t="shared" ref="N30:N35" si="9">1-(M30/J30)</f>
        <v>#DIV/0!</v>
      </c>
    </row>
    <row r="31" spans="2:18" hidden="1" x14ac:dyDescent="0.3">
      <c r="B31" s="27" t="s">
        <v>600</v>
      </c>
      <c r="C31" s="19" t="s">
        <v>596</v>
      </c>
      <c r="D31" s="19" t="s">
        <v>47</v>
      </c>
      <c r="E31" s="27"/>
      <c r="F31" s="25"/>
      <c r="G31" s="25"/>
      <c r="H31" s="25"/>
      <c r="I31" s="25"/>
      <c r="J31" s="25"/>
      <c r="K31" s="25">
        <v>45</v>
      </c>
      <c r="L31" s="26">
        <f t="shared" si="7"/>
        <v>0</v>
      </c>
      <c r="M31" s="26"/>
      <c r="N31" s="67" t="e">
        <f t="shared" si="9"/>
        <v>#DIV/0!</v>
      </c>
      <c r="O31" s="17"/>
    </row>
    <row r="32" spans="2:18" hidden="1" x14ac:dyDescent="0.3">
      <c r="B32" s="27" t="s">
        <v>1002</v>
      </c>
      <c r="C32" s="19"/>
      <c r="D32" s="19" t="s">
        <v>147</v>
      </c>
      <c r="E32" s="64"/>
      <c r="F32" s="25"/>
      <c r="G32" s="25"/>
      <c r="H32" s="25"/>
      <c r="I32" s="25"/>
      <c r="J32" s="25"/>
      <c r="K32" s="25">
        <v>100</v>
      </c>
      <c r="L32" s="26">
        <f t="shared" si="7"/>
        <v>0</v>
      </c>
      <c r="M32" s="26"/>
      <c r="N32" s="67" t="e">
        <f t="shared" si="9"/>
        <v>#DIV/0!</v>
      </c>
    </row>
    <row r="33" spans="2:15" x14ac:dyDescent="0.3">
      <c r="B33" s="27" t="s">
        <v>219</v>
      </c>
      <c r="C33" s="19" t="s">
        <v>220</v>
      </c>
      <c r="D33" s="19" t="s">
        <v>47</v>
      </c>
      <c r="E33" s="27" t="s">
        <v>1165</v>
      </c>
      <c r="F33" s="25">
        <v>3</v>
      </c>
      <c r="G33" s="26">
        <v>11383.146999999999</v>
      </c>
      <c r="H33" s="26">
        <v>40.313603333333326</v>
      </c>
      <c r="I33" s="26">
        <v>2034</v>
      </c>
      <c r="J33" s="26">
        <v>10156.046</v>
      </c>
      <c r="K33" s="25">
        <v>46</v>
      </c>
      <c r="L33" s="26">
        <f>(H33/K33)*100</f>
        <v>87.638268115942012</v>
      </c>
      <c r="M33" s="26">
        <v>2200</v>
      </c>
      <c r="N33" s="67">
        <f t="shared" si="9"/>
        <v>0.78338026432727859</v>
      </c>
    </row>
    <row r="34" spans="2:15" hidden="1" x14ac:dyDescent="0.3">
      <c r="B34" s="27" t="s">
        <v>268</v>
      </c>
      <c r="C34" s="20" t="s">
        <v>117</v>
      </c>
      <c r="D34" s="19" t="s">
        <v>47</v>
      </c>
      <c r="E34" s="27"/>
      <c r="F34" s="25"/>
      <c r="G34" s="26"/>
      <c r="H34" s="26"/>
      <c r="I34" s="26"/>
      <c r="J34" s="26"/>
      <c r="K34" s="25">
        <v>33</v>
      </c>
      <c r="L34" s="26">
        <f>(H34/K34)*100</f>
        <v>0</v>
      </c>
      <c r="M34" s="26"/>
      <c r="N34" s="67" t="e">
        <f t="shared" si="9"/>
        <v>#DIV/0!</v>
      </c>
    </row>
    <row r="35" spans="2:15" ht="15" thickBot="1" x14ac:dyDescent="0.35">
      <c r="B35" s="27" t="s">
        <v>1168</v>
      </c>
      <c r="C35" s="20"/>
      <c r="D35" s="19" t="s">
        <v>147</v>
      </c>
      <c r="E35" s="27" t="s">
        <v>1150</v>
      </c>
      <c r="F35" s="77">
        <v>1</v>
      </c>
      <c r="G35" s="26">
        <v>15069.261999999999</v>
      </c>
      <c r="H35" s="26">
        <v>51.763723333333324</v>
      </c>
      <c r="I35" s="87">
        <v>1294</v>
      </c>
      <c r="J35" s="26">
        <v>17171.204999999998</v>
      </c>
      <c r="K35" s="25">
        <v>105</v>
      </c>
      <c r="L35" s="26">
        <f>(H35/K35)*100</f>
        <v>49.298784126984117</v>
      </c>
      <c r="M35" s="26">
        <f>G35*0.3</f>
        <v>4520.7785999999996</v>
      </c>
      <c r="N35" s="67">
        <f t="shared" si="9"/>
        <v>0.73672327597276954</v>
      </c>
    </row>
    <row r="36" spans="2:15" ht="15" hidden="1" thickBot="1" x14ac:dyDescent="0.35">
      <c r="B36" s="27" t="s">
        <v>871</v>
      </c>
      <c r="C36" s="20"/>
      <c r="D36" s="19" t="s">
        <v>66</v>
      </c>
      <c r="E36" s="27"/>
      <c r="F36" s="25"/>
      <c r="G36" s="26"/>
      <c r="H36" s="26"/>
      <c r="I36" s="26"/>
      <c r="J36" s="25"/>
      <c r="K36" s="25">
        <v>59</v>
      </c>
      <c r="L36" s="26">
        <f>(H36/K36)*100</f>
        <v>0</v>
      </c>
      <c r="M36" s="26"/>
      <c r="N36" s="67" t="e">
        <f t="shared" ref="N36:N42" si="10">1-(M36/J36)</f>
        <v>#DIV/0!</v>
      </c>
    </row>
    <row r="37" spans="2:15" ht="15" hidden="1" thickBot="1" x14ac:dyDescent="0.35">
      <c r="B37" s="27" t="s">
        <v>785</v>
      </c>
      <c r="C37" s="20" t="s">
        <v>195</v>
      </c>
      <c r="D37" s="19" t="s">
        <v>66</v>
      </c>
      <c r="E37" s="64"/>
      <c r="F37" s="25"/>
      <c r="G37" s="26"/>
      <c r="H37" s="26"/>
      <c r="I37" s="26"/>
      <c r="J37" s="26"/>
      <c r="K37" s="25">
        <v>60</v>
      </c>
      <c r="L37" s="26">
        <f>(H37/K37)*100</f>
        <v>0</v>
      </c>
      <c r="M37" s="26"/>
      <c r="N37" s="67" t="e">
        <f t="shared" si="10"/>
        <v>#DIV/0!</v>
      </c>
    </row>
    <row r="38" spans="2:15" ht="15" hidden="1" thickBot="1" x14ac:dyDescent="0.35">
      <c r="B38" s="27" t="s">
        <v>755</v>
      </c>
      <c r="C38" s="20" t="s">
        <v>207</v>
      </c>
      <c r="D38" s="19" t="s">
        <v>147</v>
      </c>
      <c r="E38" s="27"/>
      <c r="F38" s="25"/>
      <c r="G38" s="25"/>
      <c r="H38" s="25"/>
      <c r="I38" s="25"/>
      <c r="J38" s="25"/>
      <c r="K38" s="25">
        <v>113</v>
      </c>
      <c r="L38" s="26">
        <f>(H38/K38)*100</f>
        <v>0</v>
      </c>
      <c r="M38" s="26"/>
      <c r="N38" s="67" t="e">
        <f t="shared" si="10"/>
        <v>#DIV/0!</v>
      </c>
      <c r="O38" s="17"/>
    </row>
    <row r="39" spans="2:15" ht="15" hidden="1" thickBot="1" x14ac:dyDescent="0.35">
      <c r="B39" s="27" t="s">
        <v>694</v>
      </c>
      <c r="C39" s="20" t="s">
        <v>201</v>
      </c>
      <c r="D39" s="19" t="s">
        <v>66</v>
      </c>
      <c r="E39" s="64"/>
      <c r="F39" s="25"/>
      <c r="G39" s="26"/>
      <c r="H39" s="26"/>
      <c r="I39" s="25"/>
      <c r="J39" s="25"/>
      <c r="K39" s="25">
        <v>76</v>
      </c>
      <c r="L39" s="26">
        <f t="shared" ref="L39:L44" si="11">(H39/K39)*100</f>
        <v>0</v>
      </c>
      <c r="M39" s="26"/>
      <c r="N39" s="67" t="e">
        <f t="shared" si="10"/>
        <v>#DIV/0!</v>
      </c>
    </row>
    <row r="40" spans="2:15" ht="15" hidden="1" thickBot="1" x14ac:dyDescent="0.35">
      <c r="B40" s="27" t="s">
        <v>267</v>
      </c>
      <c r="C40" s="20" t="s">
        <v>189</v>
      </c>
      <c r="D40" s="19" t="s">
        <v>47</v>
      </c>
      <c r="E40" s="27"/>
      <c r="F40" s="25"/>
      <c r="G40" s="26"/>
      <c r="H40" s="26"/>
      <c r="I40" s="26"/>
      <c r="J40" s="26"/>
      <c r="K40" s="25">
        <v>50</v>
      </c>
      <c r="L40" s="26">
        <f t="shared" si="11"/>
        <v>0</v>
      </c>
      <c r="M40" s="71"/>
      <c r="N40" s="67" t="e">
        <f t="shared" si="10"/>
        <v>#DIV/0!</v>
      </c>
    </row>
    <row r="41" spans="2:15" ht="15" hidden="1" thickBot="1" x14ac:dyDescent="0.35">
      <c r="B41" s="27" t="s">
        <v>767</v>
      </c>
      <c r="C41" s="20" t="s">
        <v>222</v>
      </c>
      <c r="D41" s="19" t="s">
        <v>47</v>
      </c>
      <c r="E41" s="27"/>
      <c r="F41" s="25"/>
      <c r="G41" s="25"/>
      <c r="H41" s="25"/>
      <c r="I41" s="25"/>
      <c r="J41" s="25"/>
      <c r="K41" s="25">
        <v>44</v>
      </c>
      <c r="L41" s="26">
        <f t="shared" si="11"/>
        <v>0</v>
      </c>
      <c r="M41" s="26"/>
      <c r="N41" s="67" t="e">
        <f t="shared" si="10"/>
        <v>#DIV/0!</v>
      </c>
    </row>
    <row r="42" spans="2:15" ht="15" hidden="1" thickBot="1" x14ac:dyDescent="0.35">
      <c r="B42" s="27" t="s">
        <v>175</v>
      </c>
      <c r="C42" s="20" t="s">
        <v>176</v>
      </c>
      <c r="D42" s="22">
        <v>0.75</v>
      </c>
      <c r="E42" s="27"/>
      <c r="F42" s="25"/>
      <c r="G42" s="26"/>
      <c r="H42" s="26"/>
      <c r="I42" s="26"/>
      <c r="J42" s="26"/>
      <c r="K42" s="25">
        <v>30</v>
      </c>
      <c r="L42" s="26">
        <f t="shared" si="11"/>
        <v>0</v>
      </c>
      <c r="M42" s="26"/>
      <c r="N42" s="67" t="e">
        <f t="shared" si="10"/>
        <v>#DIV/0!</v>
      </c>
    </row>
    <row r="43" spans="2:15" ht="15" hidden="1" thickBot="1" x14ac:dyDescent="0.35">
      <c r="B43" s="27" t="s">
        <v>930</v>
      </c>
      <c r="C43" s="20" t="s">
        <v>870</v>
      </c>
      <c r="D43" s="19" t="s">
        <v>66</v>
      </c>
      <c r="E43" s="27"/>
      <c r="F43" s="25"/>
      <c r="G43" s="25"/>
      <c r="H43" s="25"/>
      <c r="I43" s="25"/>
      <c r="J43" s="25"/>
      <c r="K43" s="25">
        <v>60</v>
      </c>
      <c r="L43" s="26">
        <f t="shared" si="11"/>
        <v>0</v>
      </c>
      <c r="M43" s="26"/>
      <c r="N43" s="67" t="e">
        <f>1-(M43/J43)</f>
        <v>#DIV/0!</v>
      </c>
      <c r="O43" s="17"/>
    </row>
    <row r="44" spans="2:15" ht="15" hidden="1" thickBot="1" x14ac:dyDescent="0.35">
      <c r="B44" s="27" t="s">
        <v>984</v>
      </c>
      <c r="C44" s="20"/>
      <c r="D44" s="19" t="s">
        <v>47</v>
      </c>
      <c r="E44" s="64"/>
      <c r="F44" s="25"/>
      <c r="G44" s="25"/>
      <c r="H44" s="25"/>
      <c r="I44" s="25"/>
      <c r="J44" s="25"/>
      <c r="K44" s="25">
        <v>50</v>
      </c>
      <c r="L44" s="26">
        <f t="shared" si="11"/>
        <v>0</v>
      </c>
      <c r="M44" s="26"/>
      <c r="N44" s="67" t="e">
        <f>1-(M44/J44)</f>
        <v>#DIV/0!</v>
      </c>
    </row>
    <row r="45" spans="2:15" s="16" customFormat="1" ht="15" hidden="1" thickBot="1" x14ac:dyDescent="0.35"/>
    <row r="46" spans="2:15" ht="15" hidden="1" thickBot="1" x14ac:dyDescent="0.35">
      <c r="B46" s="15" t="s">
        <v>1019</v>
      </c>
      <c r="C46" s="14" t="s">
        <v>137</v>
      </c>
      <c r="D46" s="86"/>
    </row>
    <row r="47" spans="2:15" s="16" customFormat="1" ht="15" thickBot="1" x14ac:dyDescent="0.35">
      <c r="E47" s="68" t="s">
        <v>1008</v>
      </c>
      <c r="F47" s="69">
        <f>SUM(F3:F35)</f>
        <v>16</v>
      </c>
      <c r="G47" s="69">
        <f>SUM(G3:G35)</f>
        <v>33955.127999999997</v>
      </c>
      <c r="H47" s="69">
        <f>SUM(H3:H35)</f>
        <v>117.28943999999998</v>
      </c>
      <c r="I47" s="69">
        <f>SUM(I3:I35)</f>
        <v>4475</v>
      </c>
      <c r="J47" s="69">
        <f>SUM(J3:J35)</f>
        <v>33403.300999999999</v>
      </c>
      <c r="K47" s="68" t="s">
        <v>634</v>
      </c>
      <c r="L47" s="70">
        <f>AVERAGE(L4,L33,L35)</f>
        <v>73.65914334023465</v>
      </c>
      <c r="M47" s="68" t="s">
        <v>636</v>
      </c>
      <c r="N47" s="120">
        <f>AVERAGE(N4,N33,N35)</f>
        <v>0.72199401014585174</v>
      </c>
    </row>
    <row r="48" spans="2:15" s="16" customFormat="1" x14ac:dyDescent="0.3">
      <c r="C48" s="166"/>
      <c r="D48" s="166"/>
      <c r="E48" s="166"/>
    </row>
    <row r="49" spans="8:14" s="16" customFormat="1" x14ac:dyDescent="0.3"/>
    <row r="50" spans="8:14" s="16" customFormat="1" x14ac:dyDescent="0.3"/>
    <row r="51" spans="8:14" s="16" customFormat="1" x14ac:dyDescent="0.3"/>
    <row r="52" spans="8:14" s="16" customFormat="1" x14ac:dyDescent="0.3">
      <c r="N52" s="165"/>
    </row>
    <row r="53" spans="8:14" s="16" customFormat="1" x14ac:dyDescent="0.3"/>
    <row r="54" spans="8:14" s="16" customFormat="1" x14ac:dyDescent="0.3"/>
    <row r="55" spans="8:14" s="16" customFormat="1" x14ac:dyDescent="0.3"/>
    <row r="56" spans="8:14" s="16" customFormat="1" x14ac:dyDescent="0.3">
      <c r="H56" s="116"/>
      <c r="I56" s="116"/>
      <c r="J56" s="116"/>
    </row>
    <row r="57" spans="8:14" s="16" customFormat="1" x14ac:dyDescent="0.3"/>
    <row r="58" spans="8:14" s="16" customFormat="1" x14ac:dyDescent="0.3"/>
    <row r="59" spans="8:14" s="16" customFormat="1" x14ac:dyDescent="0.3"/>
    <row r="60" spans="8:14" s="16" customFormat="1" x14ac:dyDescent="0.3"/>
    <row r="61" spans="8:14" s="16" customFormat="1" x14ac:dyDescent="0.3">
      <c r="I61" s="16">
        <f>500*0.18</f>
        <v>90</v>
      </c>
    </row>
    <row r="62" spans="8:14" s="16" customFormat="1" x14ac:dyDescent="0.3"/>
    <row r="63" spans="8:14" s="16" customFormat="1" x14ac:dyDescent="0.3"/>
  </sheetData>
  <autoFilter ref="B2:S47" xr:uid="{00000000-0001-0000-0200-000000000000}">
    <filterColumn colId="3">
      <customFilters>
        <customFilter operator="notEqual" val=" "/>
      </customFilters>
    </filterColumn>
  </autoFilter>
  <mergeCells count="1">
    <mergeCell ref="C48:E4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B8CE-1330-4490-B7B5-43F634DD9B18}">
  <sheetPr codeName="Planilha4"/>
  <dimension ref="A1:H263"/>
  <sheetViews>
    <sheetView topLeftCell="A215" workbookViewId="0">
      <selection activeCell="A234" sqref="A234:XFD234"/>
    </sheetView>
  </sheetViews>
  <sheetFormatPr defaultRowHeight="14.4" x14ac:dyDescent="0.3"/>
  <cols>
    <col min="1" max="1" width="13.21875" bestFit="1" customWidth="1"/>
    <col min="2" max="2" width="41.21875" bestFit="1" customWidth="1"/>
    <col min="3" max="3" width="21.77734375" bestFit="1" customWidth="1"/>
    <col min="4" max="4" width="34.33203125" bestFit="1" customWidth="1"/>
    <col min="5" max="5" width="17.6640625" bestFit="1" customWidth="1"/>
    <col min="6" max="6" width="30.109375" bestFit="1" customWidth="1"/>
    <col min="7" max="7" width="21.21875" bestFit="1" customWidth="1"/>
    <col min="8" max="8" width="19.6640625" bestFit="1" customWidth="1"/>
  </cols>
  <sheetData>
    <row r="1" spans="1:8" x14ac:dyDescent="0.3">
      <c r="A1" t="s">
        <v>526</v>
      </c>
      <c r="B1" t="s">
        <v>525</v>
      </c>
      <c r="C1" t="s">
        <v>524</v>
      </c>
      <c r="D1" t="s">
        <v>523</v>
      </c>
      <c r="E1" t="s">
        <v>522</v>
      </c>
      <c r="F1" t="s">
        <v>521</v>
      </c>
      <c r="G1" t="s">
        <v>520</v>
      </c>
      <c r="H1" t="s">
        <v>519</v>
      </c>
    </row>
    <row r="2" spans="1:8" x14ac:dyDescent="0.3">
      <c r="A2">
        <v>92984371534</v>
      </c>
      <c r="B2" t="s">
        <v>733</v>
      </c>
      <c r="C2" t="s">
        <v>0</v>
      </c>
      <c r="D2" s="65">
        <v>46267</v>
      </c>
      <c r="E2" t="s">
        <v>337</v>
      </c>
      <c r="F2" t="s">
        <v>336</v>
      </c>
      <c r="G2" t="s">
        <v>335</v>
      </c>
      <c r="H2" s="66">
        <v>46087.55972222222</v>
      </c>
    </row>
    <row r="3" spans="1:8" x14ac:dyDescent="0.3">
      <c r="A3">
        <v>90541022504</v>
      </c>
      <c r="B3" t="s">
        <v>518</v>
      </c>
      <c r="C3" t="s">
        <v>0</v>
      </c>
      <c r="D3" s="65">
        <v>46155</v>
      </c>
      <c r="E3" t="s">
        <v>337</v>
      </c>
      <c r="F3" t="s">
        <v>336</v>
      </c>
      <c r="G3" t="s">
        <v>335</v>
      </c>
      <c r="H3" s="66">
        <v>45975.040277777778</v>
      </c>
    </row>
    <row r="4" spans="1:8" x14ac:dyDescent="0.3">
      <c r="A4">
        <v>11029723559</v>
      </c>
      <c r="B4" t="s">
        <v>36</v>
      </c>
      <c r="C4" t="s">
        <v>0</v>
      </c>
      <c r="D4" s="65">
        <v>46207</v>
      </c>
      <c r="E4" t="s">
        <v>337</v>
      </c>
      <c r="F4" t="s">
        <v>336</v>
      </c>
      <c r="G4" t="s">
        <v>335</v>
      </c>
      <c r="H4" s="66">
        <v>46027.428472222222</v>
      </c>
    </row>
    <row r="5" spans="1:8" x14ac:dyDescent="0.3">
      <c r="A5">
        <v>60625333500</v>
      </c>
      <c r="B5" t="s">
        <v>607</v>
      </c>
      <c r="C5" t="s">
        <v>0</v>
      </c>
      <c r="D5" s="65">
        <v>46252</v>
      </c>
      <c r="E5" t="s">
        <v>337</v>
      </c>
      <c r="F5" t="s">
        <v>336</v>
      </c>
      <c r="G5" t="s">
        <v>335</v>
      </c>
      <c r="H5" s="66">
        <v>46072.997916666667</v>
      </c>
    </row>
    <row r="6" spans="1:8" x14ac:dyDescent="0.3">
      <c r="A6">
        <v>1672732565</v>
      </c>
      <c r="B6" t="s">
        <v>517</v>
      </c>
      <c r="C6" t="s">
        <v>0</v>
      </c>
      <c r="D6" s="65">
        <v>46175</v>
      </c>
      <c r="E6" t="s">
        <v>337</v>
      </c>
      <c r="F6" t="s">
        <v>336</v>
      </c>
      <c r="G6" t="s">
        <v>335</v>
      </c>
      <c r="H6" s="66">
        <v>45995.056250000001</v>
      </c>
    </row>
    <row r="7" spans="1:8" x14ac:dyDescent="0.3">
      <c r="A7">
        <v>42229006568</v>
      </c>
      <c r="B7" t="s">
        <v>516</v>
      </c>
      <c r="C7" t="s">
        <v>0</v>
      </c>
      <c r="D7" s="65">
        <v>46155</v>
      </c>
      <c r="E7" t="s">
        <v>337</v>
      </c>
      <c r="F7" t="s">
        <v>336</v>
      </c>
      <c r="G7" t="s">
        <v>335</v>
      </c>
      <c r="H7" s="66">
        <v>45975.01458333333</v>
      </c>
    </row>
    <row r="8" spans="1:8" x14ac:dyDescent="0.3">
      <c r="A8">
        <v>27638537572</v>
      </c>
      <c r="B8" t="s">
        <v>594</v>
      </c>
      <c r="C8" t="s">
        <v>0</v>
      </c>
      <c r="D8" s="65">
        <v>46258</v>
      </c>
      <c r="E8" t="s">
        <v>337</v>
      </c>
      <c r="F8" t="s">
        <v>336</v>
      </c>
      <c r="G8" t="s">
        <v>335</v>
      </c>
      <c r="H8" s="66">
        <v>46078.811805555553</v>
      </c>
    </row>
    <row r="9" spans="1:8" x14ac:dyDescent="0.3">
      <c r="A9">
        <v>86753541500</v>
      </c>
      <c r="B9" t="s">
        <v>515</v>
      </c>
      <c r="C9" t="s">
        <v>0</v>
      </c>
      <c r="D9" s="65">
        <v>46139</v>
      </c>
      <c r="E9" t="s">
        <v>337</v>
      </c>
      <c r="F9" t="s">
        <v>336</v>
      </c>
      <c r="G9" t="s">
        <v>335</v>
      </c>
      <c r="H9" s="66">
        <v>45959.848611111112</v>
      </c>
    </row>
    <row r="10" spans="1:8" x14ac:dyDescent="0.3">
      <c r="A10">
        <v>91634210549</v>
      </c>
      <c r="B10" t="s">
        <v>514</v>
      </c>
      <c r="C10" t="s">
        <v>0</v>
      </c>
      <c r="D10" s="65">
        <v>46281</v>
      </c>
      <c r="E10" t="s">
        <v>337</v>
      </c>
      <c r="F10" t="s">
        <v>336</v>
      </c>
      <c r="G10" t="s">
        <v>335</v>
      </c>
      <c r="H10" s="66">
        <v>46101.806250000001</v>
      </c>
    </row>
    <row r="11" spans="1:8" x14ac:dyDescent="0.3">
      <c r="A11">
        <v>86073779577</v>
      </c>
      <c r="B11" t="s">
        <v>513</v>
      </c>
      <c r="C11" t="s">
        <v>0</v>
      </c>
      <c r="D11" s="65">
        <v>46223</v>
      </c>
      <c r="E11" t="s">
        <v>337</v>
      </c>
      <c r="F11" t="s">
        <v>336</v>
      </c>
      <c r="G11" t="s">
        <v>335</v>
      </c>
      <c r="H11" s="66">
        <v>46043.472222222219</v>
      </c>
    </row>
    <row r="12" spans="1:8" x14ac:dyDescent="0.3">
      <c r="A12">
        <v>9115100529</v>
      </c>
      <c r="B12" t="s">
        <v>512</v>
      </c>
      <c r="C12" t="s">
        <v>0</v>
      </c>
      <c r="D12" s="65">
        <v>46321</v>
      </c>
      <c r="E12" t="s">
        <v>337</v>
      </c>
      <c r="F12" t="s">
        <v>336</v>
      </c>
      <c r="G12" t="s">
        <v>335</v>
      </c>
      <c r="H12" s="66">
        <v>46141.534722222219</v>
      </c>
    </row>
    <row r="13" spans="1:8" x14ac:dyDescent="0.3">
      <c r="A13">
        <v>1983960586</v>
      </c>
      <c r="B13" t="s">
        <v>41</v>
      </c>
      <c r="C13" t="s">
        <v>0</v>
      </c>
      <c r="D13" s="65">
        <v>46340</v>
      </c>
      <c r="E13" t="s">
        <v>337</v>
      </c>
      <c r="F13" t="s">
        <v>336</v>
      </c>
      <c r="G13" t="s">
        <v>335</v>
      </c>
      <c r="H13" s="66">
        <v>46160.605555555558</v>
      </c>
    </row>
    <row r="14" spans="1:8" x14ac:dyDescent="0.3">
      <c r="A14">
        <v>3946588506</v>
      </c>
      <c r="B14" t="s">
        <v>45</v>
      </c>
      <c r="C14" t="s">
        <v>0</v>
      </c>
      <c r="D14" s="65">
        <v>46155</v>
      </c>
      <c r="E14" t="s">
        <v>337</v>
      </c>
      <c r="F14" t="s">
        <v>336</v>
      </c>
      <c r="G14" t="s">
        <v>335</v>
      </c>
      <c r="H14" s="66">
        <v>45975.020833333336</v>
      </c>
    </row>
    <row r="15" spans="1:8" x14ac:dyDescent="0.3">
      <c r="A15">
        <v>75920107553</v>
      </c>
      <c r="B15" t="s">
        <v>511</v>
      </c>
      <c r="C15" t="s">
        <v>0</v>
      </c>
      <c r="D15" s="65">
        <v>46063</v>
      </c>
      <c r="E15" t="s">
        <v>337</v>
      </c>
      <c r="F15" t="s">
        <v>336</v>
      </c>
      <c r="G15" t="s">
        <v>335</v>
      </c>
      <c r="H15" s="66">
        <v>45883.296527777777</v>
      </c>
    </row>
    <row r="16" spans="1:8" x14ac:dyDescent="0.3">
      <c r="A16">
        <v>4507162521</v>
      </c>
      <c r="B16" t="s">
        <v>510</v>
      </c>
      <c r="C16" t="s">
        <v>0</v>
      </c>
      <c r="D16" s="65">
        <v>46009</v>
      </c>
      <c r="E16" t="s">
        <v>337</v>
      </c>
      <c r="F16" t="s">
        <v>351</v>
      </c>
      <c r="G16" t="s">
        <v>335</v>
      </c>
      <c r="H16" s="66">
        <v>46009.543055555558</v>
      </c>
    </row>
    <row r="17" spans="1:8" x14ac:dyDescent="0.3">
      <c r="A17">
        <v>6957883531</v>
      </c>
      <c r="B17" t="s">
        <v>509</v>
      </c>
      <c r="C17" t="s">
        <v>0</v>
      </c>
      <c r="D17" s="65">
        <v>46155</v>
      </c>
      <c r="E17" t="s">
        <v>337</v>
      </c>
      <c r="F17" t="s">
        <v>336</v>
      </c>
      <c r="G17" t="s">
        <v>335</v>
      </c>
      <c r="H17" s="66">
        <v>45975.015972222223</v>
      </c>
    </row>
    <row r="18" spans="1:8" x14ac:dyDescent="0.3">
      <c r="A18">
        <v>5345559503</v>
      </c>
      <c r="B18" t="s">
        <v>235</v>
      </c>
      <c r="C18" t="s">
        <v>0</v>
      </c>
      <c r="D18" s="65">
        <v>46238</v>
      </c>
      <c r="E18" t="s">
        <v>337</v>
      </c>
      <c r="F18" t="s">
        <v>336</v>
      </c>
      <c r="G18" t="s">
        <v>335</v>
      </c>
      <c r="H18" s="66">
        <v>46058.839583333334</v>
      </c>
    </row>
    <row r="19" spans="1:8" x14ac:dyDescent="0.3">
      <c r="A19">
        <v>1610758510</v>
      </c>
      <c r="B19" t="s">
        <v>508</v>
      </c>
      <c r="C19" t="s">
        <v>0</v>
      </c>
      <c r="D19" s="65">
        <v>46155</v>
      </c>
      <c r="E19" t="s">
        <v>337</v>
      </c>
      <c r="F19" t="s">
        <v>336</v>
      </c>
      <c r="G19" t="s">
        <v>335</v>
      </c>
      <c r="H19" s="66">
        <v>45975.018055555556</v>
      </c>
    </row>
    <row r="20" spans="1:8" x14ac:dyDescent="0.3">
      <c r="A20">
        <v>10936363517</v>
      </c>
      <c r="B20" t="s">
        <v>735</v>
      </c>
      <c r="C20" t="s">
        <v>0</v>
      </c>
      <c r="D20" s="65">
        <v>46291</v>
      </c>
      <c r="E20" t="s">
        <v>337</v>
      </c>
      <c r="F20" t="s">
        <v>336</v>
      </c>
      <c r="G20" t="s">
        <v>335</v>
      </c>
      <c r="H20" s="66">
        <v>46111.676388888889</v>
      </c>
    </row>
    <row r="21" spans="1:8" x14ac:dyDescent="0.3">
      <c r="A21">
        <v>3402995506</v>
      </c>
      <c r="B21" s="119" t="s">
        <v>1025</v>
      </c>
      <c r="C21" t="s">
        <v>0</v>
      </c>
      <c r="D21" s="65">
        <v>46389</v>
      </c>
      <c r="E21" t="s">
        <v>337</v>
      </c>
      <c r="F21" t="s">
        <v>336</v>
      </c>
      <c r="G21" t="s">
        <v>737</v>
      </c>
      <c r="H21" s="66">
        <v>46209.592361111114</v>
      </c>
    </row>
    <row r="22" spans="1:8" x14ac:dyDescent="0.3">
      <c r="A22">
        <v>82875162500</v>
      </c>
      <c r="B22" s="119" t="s">
        <v>51</v>
      </c>
      <c r="C22" t="s">
        <v>0</v>
      </c>
      <c r="D22" s="65">
        <v>46389</v>
      </c>
      <c r="E22" t="s">
        <v>337</v>
      </c>
      <c r="F22" t="s">
        <v>336</v>
      </c>
      <c r="G22" t="s">
        <v>335</v>
      </c>
      <c r="H22" s="66">
        <v>46209.573611111111</v>
      </c>
    </row>
    <row r="23" spans="1:8" x14ac:dyDescent="0.3">
      <c r="A23">
        <v>1680600516</v>
      </c>
      <c r="B23" t="s">
        <v>507</v>
      </c>
      <c r="C23" t="s">
        <v>0</v>
      </c>
      <c r="D23" s="65">
        <v>46416</v>
      </c>
      <c r="E23" t="s">
        <v>345</v>
      </c>
      <c r="F23" t="s">
        <v>336</v>
      </c>
      <c r="G23" t="s">
        <v>335</v>
      </c>
      <c r="H23" s="66">
        <v>46051.819444444445</v>
      </c>
    </row>
    <row r="24" spans="1:8" x14ac:dyDescent="0.3">
      <c r="A24">
        <v>1103698583</v>
      </c>
      <c r="B24" t="s">
        <v>506</v>
      </c>
      <c r="C24" t="s">
        <v>0</v>
      </c>
      <c r="D24" s="65">
        <v>46231</v>
      </c>
      <c r="E24" t="s">
        <v>337</v>
      </c>
      <c r="F24" t="s">
        <v>336</v>
      </c>
      <c r="G24" t="s">
        <v>335</v>
      </c>
      <c r="H24" s="66">
        <v>46051.039583333331</v>
      </c>
    </row>
    <row r="25" spans="1:8" x14ac:dyDescent="0.3">
      <c r="A25">
        <v>3412035564</v>
      </c>
      <c r="B25" t="s">
        <v>505</v>
      </c>
      <c r="C25" t="s">
        <v>0</v>
      </c>
      <c r="D25" s="65">
        <v>46155</v>
      </c>
      <c r="E25" t="s">
        <v>337</v>
      </c>
      <c r="F25" t="s">
        <v>336</v>
      </c>
      <c r="G25" t="s">
        <v>335</v>
      </c>
      <c r="H25" s="66">
        <v>45975.022916666669</v>
      </c>
    </row>
    <row r="26" spans="1:8" x14ac:dyDescent="0.3">
      <c r="A26">
        <v>3186666503</v>
      </c>
      <c r="B26" t="s">
        <v>613</v>
      </c>
      <c r="C26" t="s">
        <v>0</v>
      </c>
      <c r="D26" s="65">
        <v>46242</v>
      </c>
      <c r="E26" t="s">
        <v>337</v>
      </c>
      <c r="F26" t="s">
        <v>336</v>
      </c>
      <c r="G26" t="s">
        <v>335</v>
      </c>
      <c r="H26" s="66">
        <v>46062.748611111114</v>
      </c>
    </row>
    <row r="27" spans="1:8" x14ac:dyDescent="0.3">
      <c r="A27">
        <v>39693643534</v>
      </c>
      <c r="B27" s="119" t="s">
        <v>504</v>
      </c>
      <c r="C27" t="s">
        <v>0</v>
      </c>
      <c r="D27" s="65">
        <v>46389</v>
      </c>
      <c r="E27" t="s">
        <v>337</v>
      </c>
      <c r="F27" t="s">
        <v>336</v>
      </c>
      <c r="G27" t="s">
        <v>335</v>
      </c>
      <c r="H27" s="66">
        <v>46209.573611111111</v>
      </c>
    </row>
    <row r="28" spans="1:8" x14ac:dyDescent="0.3">
      <c r="A28">
        <v>95112332549</v>
      </c>
      <c r="B28" t="s">
        <v>503</v>
      </c>
      <c r="C28" t="s">
        <v>0</v>
      </c>
      <c r="D28" s="65">
        <v>46257</v>
      </c>
      <c r="E28" t="s">
        <v>337</v>
      </c>
      <c r="F28" t="s">
        <v>336</v>
      </c>
      <c r="G28" t="s">
        <v>335</v>
      </c>
      <c r="H28" s="66">
        <v>46077.777777777781</v>
      </c>
    </row>
    <row r="29" spans="1:8" x14ac:dyDescent="0.3">
      <c r="A29">
        <v>68415230591</v>
      </c>
      <c r="B29" t="s">
        <v>221</v>
      </c>
      <c r="C29" t="s">
        <v>0</v>
      </c>
      <c r="D29" s="65">
        <v>46294</v>
      </c>
      <c r="E29" t="s">
        <v>337</v>
      </c>
      <c r="F29" t="s">
        <v>336</v>
      </c>
      <c r="G29" t="s">
        <v>335</v>
      </c>
      <c r="H29" s="66">
        <v>46114.697916666664</v>
      </c>
    </row>
    <row r="30" spans="1:8" x14ac:dyDescent="0.3">
      <c r="A30">
        <v>28235584549</v>
      </c>
      <c r="B30" t="s">
        <v>502</v>
      </c>
      <c r="C30" t="s">
        <v>0</v>
      </c>
      <c r="D30" s="65">
        <v>46155</v>
      </c>
      <c r="E30" t="s">
        <v>337</v>
      </c>
      <c r="F30" t="s">
        <v>336</v>
      </c>
      <c r="G30" t="s">
        <v>335</v>
      </c>
      <c r="H30" s="66">
        <v>45975.044444444444</v>
      </c>
    </row>
    <row r="31" spans="1:8" x14ac:dyDescent="0.3">
      <c r="A31">
        <v>14145235568</v>
      </c>
      <c r="B31" t="s">
        <v>501</v>
      </c>
      <c r="C31" t="s">
        <v>0</v>
      </c>
      <c r="D31" s="65">
        <v>46155</v>
      </c>
      <c r="E31" t="s">
        <v>337</v>
      </c>
      <c r="F31" t="s">
        <v>336</v>
      </c>
      <c r="G31" t="s">
        <v>335</v>
      </c>
      <c r="H31" s="66">
        <v>45975.017361111109</v>
      </c>
    </row>
    <row r="32" spans="1:8" x14ac:dyDescent="0.3">
      <c r="A32">
        <v>52145646515</v>
      </c>
      <c r="B32" t="s">
        <v>500</v>
      </c>
      <c r="C32" t="s">
        <v>0</v>
      </c>
      <c r="D32" s="65">
        <v>46323</v>
      </c>
      <c r="E32" t="s">
        <v>345</v>
      </c>
      <c r="F32" t="s">
        <v>336</v>
      </c>
      <c r="G32" t="s">
        <v>335</v>
      </c>
      <c r="H32" s="66">
        <v>45958.772222222222</v>
      </c>
    </row>
    <row r="33" spans="1:8" x14ac:dyDescent="0.3">
      <c r="A33">
        <v>3385572533</v>
      </c>
      <c r="B33" t="s">
        <v>893</v>
      </c>
      <c r="C33" t="s">
        <v>0</v>
      </c>
      <c r="D33" s="65">
        <v>46298</v>
      </c>
      <c r="E33" t="s">
        <v>337</v>
      </c>
      <c r="F33" t="s">
        <v>336</v>
      </c>
      <c r="G33" t="s">
        <v>335</v>
      </c>
      <c r="H33" s="66">
        <v>46118.887499999997</v>
      </c>
    </row>
    <row r="34" spans="1:8" x14ac:dyDescent="0.3">
      <c r="A34">
        <v>74871099504</v>
      </c>
      <c r="B34" t="s">
        <v>499</v>
      </c>
      <c r="C34" t="s">
        <v>0</v>
      </c>
      <c r="D34" s="65">
        <v>46081</v>
      </c>
      <c r="E34" t="s">
        <v>337</v>
      </c>
      <c r="F34" t="s">
        <v>336</v>
      </c>
      <c r="G34" t="s">
        <v>335</v>
      </c>
      <c r="H34" s="66">
        <v>45901.734722222223</v>
      </c>
    </row>
    <row r="35" spans="1:8" x14ac:dyDescent="0.3">
      <c r="A35">
        <v>42759765504</v>
      </c>
      <c r="B35" t="s">
        <v>498</v>
      </c>
      <c r="C35" t="s">
        <v>0</v>
      </c>
      <c r="D35" s="65">
        <v>46155</v>
      </c>
      <c r="E35" t="s">
        <v>337</v>
      </c>
      <c r="F35" t="s">
        <v>336</v>
      </c>
      <c r="G35" t="s">
        <v>335</v>
      </c>
      <c r="H35" s="66">
        <v>45975.015972222223</v>
      </c>
    </row>
    <row r="36" spans="1:8" x14ac:dyDescent="0.3">
      <c r="A36">
        <v>37493132534</v>
      </c>
      <c r="B36" t="s">
        <v>497</v>
      </c>
      <c r="C36" t="s">
        <v>0</v>
      </c>
      <c r="D36" s="65">
        <v>45608</v>
      </c>
      <c r="E36" t="s">
        <v>337</v>
      </c>
      <c r="F36" t="s">
        <v>351</v>
      </c>
      <c r="G36" t="s">
        <v>335</v>
      </c>
      <c r="H36" s="66">
        <v>45608.462500000001</v>
      </c>
    </row>
    <row r="37" spans="1:8" x14ac:dyDescent="0.3">
      <c r="A37">
        <v>5758019569</v>
      </c>
      <c r="B37" t="s">
        <v>185</v>
      </c>
      <c r="C37" t="s">
        <v>0</v>
      </c>
      <c r="D37" s="65">
        <v>46252</v>
      </c>
      <c r="E37" t="s">
        <v>337</v>
      </c>
      <c r="F37" t="s">
        <v>336</v>
      </c>
      <c r="G37" t="s">
        <v>335</v>
      </c>
      <c r="H37" s="66">
        <v>46072.461111111108</v>
      </c>
    </row>
    <row r="38" spans="1:8" x14ac:dyDescent="0.3">
      <c r="A38">
        <v>102987548</v>
      </c>
      <c r="B38" t="s">
        <v>496</v>
      </c>
      <c r="C38" t="s">
        <v>0</v>
      </c>
      <c r="D38" s="65">
        <v>46155</v>
      </c>
      <c r="E38" t="s">
        <v>337</v>
      </c>
      <c r="F38" t="s">
        <v>336</v>
      </c>
      <c r="G38" t="s">
        <v>335</v>
      </c>
      <c r="H38" s="66">
        <v>45975.020138888889</v>
      </c>
    </row>
    <row r="39" spans="1:8" x14ac:dyDescent="0.3">
      <c r="A39">
        <v>9248521517</v>
      </c>
      <c r="B39" t="s">
        <v>495</v>
      </c>
      <c r="C39" t="s">
        <v>0</v>
      </c>
      <c r="D39" s="65">
        <v>46155</v>
      </c>
      <c r="E39" t="s">
        <v>337</v>
      </c>
      <c r="F39" t="s">
        <v>336</v>
      </c>
      <c r="G39" t="s">
        <v>335</v>
      </c>
      <c r="H39" s="66">
        <v>45975.01458333333</v>
      </c>
    </row>
    <row r="40" spans="1:8" x14ac:dyDescent="0.3">
      <c r="A40">
        <v>7930523519</v>
      </c>
      <c r="B40" t="s">
        <v>494</v>
      </c>
      <c r="C40" t="s">
        <v>0</v>
      </c>
      <c r="D40" s="65">
        <v>46155</v>
      </c>
      <c r="E40" t="s">
        <v>337</v>
      </c>
      <c r="F40" t="s">
        <v>336</v>
      </c>
      <c r="G40" t="s">
        <v>335</v>
      </c>
      <c r="H40" s="66">
        <v>45975.013888888891</v>
      </c>
    </row>
    <row r="41" spans="1:8" x14ac:dyDescent="0.3">
      <c r="A41">
        <v>86991107581</v>
      </c>
      <c r="B41" t="s">
        <v>493</v>
      </c>
      <c r="C41" t="s">
        <v>0</v>
      </c>
      <c r="D41" s="65">
        <v>46041</v>
      </c>
      <c r="E41" t="s">
        <v>337</v>
      </c>
      <c r="F41" t="s">
        <v>336</v>
      </c>
      <c r="G41" t="s">
        <v>335</v>
      </c>
      <c r="H41" s="66">
        <v>45861.840277777781</v>
      </c>
    </row>
    <row r="42" spans="1:8" x14ac:dyDescent="0.3">
      <c r="A42">
        <v>1289946574</v>
      </c>
      <c r="B42" t="s">
        <v>492</v>
      </c>
      <c r="C42" t="s">
        <v>0</v>
      </c>
      <c r="D42" s="65">
        <v>46054</v>
      </c>
      <c r="E42" t="s">
        <v>337</v>
      </c>
      <c r="F42" t="s">
        <v>336</v>
      </c>
      <c r="G42" t="s">
        <v>335</v>
      </c>
      <c r="H42" s="66">
        <v>45874.292361111111</v>
      </c>
    </row>
    <row r="43" spans="1:8" x14ac:dyDescent="0.3">
      <c r="A43">
        <v>3434101500</v>
      </c>
      <c r="B43" t="s">
        <v>230</v>
      </c>
      <c r="C43" t="s">
        <v>0</v>
      </c>
      <c r="D43" s="65">
        <v>46145</v>
      </c>
      <c r="E43" t="s">
        <v>337</v>
      </c>
      <c r="F43" t="s">
        <v>336</v>
      </c>
      <c r="G43" t="s">
        <v>335</v>
      </c>
      <c r="H43" s="66">
        <v>45965.743055555555</v>
      </c>
    </row>
    <row r="44" spans="1:8" x14ac:dyDescent="0.3">
      <c r="A44">
        <v>5641464554</v>
      </c>
      <c r="B44" t="s">
        <v>734</v>
      </c>
      <c r="C44" t="s">
        <v>0</v>
      </c>
      <c r="D44" s="65">
        <v>46265</v>
      </c>
      <c r="E44" t="s">
        <v>337</v>
      </c>
      <c r="F44" t="s">
        <v>336</v>
      </c>
      <c r="G44" t="s">
        <v>335</v>
      </c>
      <c r="H44" s="66">
        <v>46085.96875</v>
      </c>
    </row>
    <row r="45" spans="1:8" x14ac:dyDescent="0.3">
      <c r="A45">
        <v>88379515587</v>
      </c>
      <c r="B45" t="s">
        <v>491</v>
      </c>
      <c r="C45" t="s">
        <v>0</v>
      </c>
      <c r="D45" s="65">
        <v>46155</v>
      </c>
      <c r="E45" t="s">
        <v>337</v>
      </c>
      <c r="F45" t="s">
        <v>336</v>
      </c>
      <c r="G45" t="s">
        <v>335</v>
      </c>
      <c r="H45" s="66">
        <v>45975.01458333333</v>
      </c>
    </row>
    <row r="46" spans="1:8" x14ac:dyDescent="0.3">
      <c r="A46">
        <v>90829425500</v>
      </c>
      <c r="B46" t="s">
        <v>490</v>
      </c>
      <c r="C46" t="s">
        <v>0</v>
      </c>
      <c r="D46" s="65">
        <v>46155</v>
      </c>
      <c r="E46" t="s">
        <v>337</v>
      </c>
      <c r="F46" t="s">
        <v>336</v>
      </c>
      <c r="G46" t="s">
        <v>335</v>
      </c>
      <c r="H46" s="66">
        <v>45975.015277777777</v>
      </c>
    </row>
    <row r="47" spans="1:8" x14ac:dyDescent="0.3">
      <c r="A47">
        <v>82300020530</v>
      </c>
      <c r="B47" t="s">
        <v>489</v>
      </c>
      <c r="C47" t="s">
        <v>0</v>
      </c>
      <c r="D47" s="65">
        <v>46175</v>
      </c>
      <c r="E47" t="s">
        <v>337</v>
      </c>
      <c r="F47" t="s">
        <v>336</v>
      </c>
      <c r="G47" t="s">
        <v>335</v>
      </c>
      <c r="H47" s="66">
        <v>45995.056250000001</v>
      </c>
    </row>
    <row r="48" spans="1:8" x14ac:dyDescent="0.3">
      <c r="A48">
        <v>54450276515</v>
      </c>
      <c r="B48" t="s">
        <v>488</v>
      </c>
      <c r="C48" t="s">
        <v>0</v>
      </c>
      <c r="D48" s="65">
        <v>46071</v>
      </c>
      <c r="E48" t="s">
        <v>337</v>
      </c>
      <c r="F48" t="s">
        <v>336</v>
      </c>
      <c r="G48" t="s">
        <v>335</v>
      </c>
      <c r="H48" s="66">
        <v>45891.45208333333</v>
      </c>
    </row>
    <row r="49" spans="1:8" x14ac:dyDescent="0.3">
      <c r="A49">
        <v>69370540415</v>
      </c>
      <c r="B49" t="s">
        <v>487</v>
      </c>
      <c r="C49" t="s">
        <v>0</v>
      </c>
      <c r="D49" s="65">
        <v>46323</v>
      </c>
      <c r="E49" t="s">
        <v>345</v>
      </c>
      <c r="F49" t="s">
        <v>336</v>
      </c>
      <c r="G49" t="s">
        <v>335</v>
      </c>
      <c r="H49" s="66">
        <v>45958.772916666669</v>
      </c>
    </row>
    <row r="50" spans="1:8" x14ac:dyDescent="0.3">
      <c r="A50">
        <v>5531515413</v>
      </c>
      <c r="B50" t="s">
        <v>486</v>
      </c>
      <c r="C50" t="s">
        <v>0</v>
      </c>
      <c r="D50" s="65">
        <v>46292</v>
      </c>
      <c r="E50" t="s">
        <v>337</v>
      </c>
      <c r="F50" t="s">
        <v>336</v>
      </c>
      <c r="G50" t="s">
        <v>335</v>
      </c>
      <c r="H50" s="66">
        <v>46112.554861111108</v>
      </c>
    </row>
    <row r="51" spans="1:8" x14ac:dyDescent="0.3">
      <c r="A51">
        <v>86353938560</v>
      </c>
      <c r="B51" t="s">
        <v>485</v>
      </c>
      <c r="C51" t="s">
        <v>0</v>
      </c>
      <c r="D51" s="65">
        <v>46155</v>
      </c>
      <c r="E51" t="s">
        <v>337</v>
      </c>
      <c r="F51" t="s">
        <v>336</v>
      </c>
      <c r="G51" t="s">
        <v>335</v>
      </c>
      <c r="H51" s="66">
        <v>45975.013888888891</v>
      </c>
    </row>
    <row r="52" spans="1:8" x14ac:dyDescent="0.3">
      <c r="A52">
        <v>81614012504</v>
      </c>
      <c r="B52" s="119" t="s">
        <v>62</v>
      </c>
      <c r="C52" t="s">
        <v>0</v>
      </c>
      <c r="D52" s="65">
        <v>46389</v>
      </c>
      <c r="E52" t="s">
        <v>337</v>
      </c>
      <c r="F52" t="s">
        <v>336</v>
      </c>
      <c r="G52" t="s">
        <v>335</v>
      </c>
      <c r="H52" s="66">
        <v>46209.575694444444</v>
      </c>
    </row>
    <row r="53" spans="1:8" x14ac:dyDescent="0.3">
      <c r="A53">
        <v>87398222572</v>
      </c>
      <c r="B53" t="s">
        <v>484</v>
      </c>
      <c r="C53" t="s">
        <v>0</v>
      </c>
      <c r="D53" s="65">
        <v>46155</v>
      </c>
      <c r="E53" t="s">
        <v>337</v>
      </c>
      <c r="F53" t="s">
        <v>336</v>
      </c>
      <c r="G53" t="s">
        <v>335</v>
      </c>
      <c r="H53" s="66">
        <v>45975.019444444442</v>
      </c>
    </row>
    <row r="54" spans="1:8" x14ac:dyDescent="0.3">
      <c r="A54">
        <v>81507585500</v>
      </c>
      <c r="B54" s="119" t="s">
        <v>483</v>
      </c>
      <c r="C54" t="s">
        <v>0</v>
      </c>
      <c r="D54" s="65">
        <v>46389</v>
      </c>
      <c r="E54" t="s">
        <v>337</v>
      </c>
      <c r="F54" t="s">
        <v>336</v>
      </c>
      <c r="G54" t="s">
        <v>335</v>
      </c>
      <c r="H54" s="66">
        <v>46209.575694444444</v>
      </c>
    </row>
    <row r="55" spans="1:8" x14ac:dyDescent="0.3">
      <c r="A55">
        <v>85960230542</v>
      </c>
      <c r="B55" t="s">
        <v>482</v>
      </c>
      <c r="C55" t="s">
        <v>0</v>
      </c>
      <c r="D55" s="65">
        <v>46207</v>
      </c>
      <c r="E55" t="s">
        <v>337</v>
      </c>
      <c r="F55" t="s">
        <v>336</v>
      </c>
      <c r="G55" t="s">
        <v>335</v>
      </c>
      <c r="H55" s="66">
        <v>46027.439583333333</v>
      </c>
    </row>
    <row r="56" spans="1:8" x14ac:dyDescent="0.3">
      <c r="A56">
        <v>2451348593</v>
      </c>
      <c r="B56" t="s">
        <v>481</v>
      </c>
      <c r="C56" t="s">
        <v>0</v>
      </c>
      <c r="D56" s="65">
        <v>46155</v>
      </c>
      <c r="E56" t="s">
        <v>337</v>
      </c>
      <c r="F56" t="s">
        <v>336</v>
      </c>
      <c r="G56" t="s">
        <v>335</v>
      </c>
      <c r="H56" s="66">
        <v>45975.01458333333</v>
      </c>
    </row>
    <row r="57" spans="1:8" x14ac:dyDescent="0.3">
      <c r="A57">
        <v>50943960568</v>
      </c>
      <c r="B57" t="s">
        <v>480</v>
      </c>
      <c r="C57" t="s">
        <v>0</v>
      </c>
      <c r="D57" s="65">
        <v>45940</v>
      </c>
      <c r="E57" t="s">
        <v>337</v>
      </c>
      <c r="F57" t="s">
        <v>351</v>
      </c>
      <c r="G57" t="s">
        <v>335</v>
      </c>
      <c r="H57" s="66">
        <v>45940.911111111112</v>
      </c>
    </row>
    <row r="58" spans="1:8" x14ac:dyDescent="0.3">
      <c r="A58">
        <v>81264097549</v>
      </c>
      <c r="B58" t="s">
        <v>479</v>
      </c>
      <c r="C58" t="s">
        <v>0</v>
      </c>
      <c r="D58" s="65">
        <v>46111</v>
      </c>
      <c r="E58" t="s">
        <v>337</v>
      </c>
      <c r="F58" t="s">
        <v>336</v>
      </c>
      <c r="G58" t="s">
        <v>335</v>
      </c>
      <c r="H58" s="66">
        <v>45931.772916666669</v>
      </c>
    </row>
    <row r="59" spans="1:8" x14ac:dyDescent="0.3">
      <c r="A59">
        <v>85797056577</v>
      </c>
      <c r="B59" t="s">
        <v>478</v>
      </c>
      <c r="C59" t="s">
        <v>0</v>
      </c>
      <c r="D59" s="65">
        <v>46155</v>
      </c>
      <c r="E59" t="s">
        <v>337</v>
      </c>
      <c r="F59" t="s">
        <v>336</v>
      </c>
      <c r="G59" t="s">
        <v>335</v>
      </c>
      <c r="H59" s="66">
        <v>45975.036805555559</v>
      </c>
    </row>
    <row r="60" spans="1:8" x14ac:dyDescent="0.3">
      <c r="A60">
        <v>5902781507</v>
      </c>
      <c r="B60" t="s">
        <v>477</v>
      </c>
      <c r="C60" t="s">
        <v>0</v>
      </c>
      <c r="D60" s="65">
        <v>45755</v>
      </c>
      <c r="E60" t="s">
        <v>337</v>
      </c>
      <c r="F60" t="s">
        <v>351</v>
      </c>
      <c r="G60" t="s">
        <v>335</v>
      </c>
      <c r="H60" s="66">
        <v>45755.467361111114</v>
      </c>
    </row>
    <row r="61" spans="1:8" x14ac:dyDescent="0.3">
      <c r="A61">
        <v>4054453503</v>
      </c>
      <c r="B61" t="s">
        <v>476</v>
      </c>
      <c r="C61" t="s">
        <v>0</v>
      </c>
      <c r="D61" s="65">
        <v>46095</v>
      </c>
      <c r="E61" t="s">
        <v>337</v>
      </c>
      <c r="F61" t="s">
        <v>336</v>
      </c>
      <c r="G61" t="s">
        <v>335</v>
      </c>
      <c r="H61" s="66">
        <v>45915.82708333333</v>
      </c>
    </row>
    <row r="62" spans="1:8" x14ac:dyDescent="0.3">
      <c r="A62">
        <v>71715096568</v>
      </c>
      <c r="B62" t="s">
        <v>475</v>
      </c>
      <c r="C62" t="s">
        <v>0</v>
      </c>
      <c r="D62" s="65">
        <v>46155</v>
      </c>
      <c r="E62" t="s">
        <v>337</v>
      </c>
      <c r="F62" t="s">
        <v>336</v>
      </c>
      <c r="G62" t="s">
        <v>335</v>
      </c>
      <c r="H62" s="66">
        <v>45975.018750000003</v>
      </c>
    </row>
    <row r="63" spans="1:8" x14ac:dyDescent="0.3">
      <c r="A63">
        <v>63282054572</v>
      </c>
      <c r="B63" s="119" t="s">
        <v>844</v>
      </c>
      <c r="C63" t="s">
        <v>0</v>
      </c>
      <c r="D63" s="65">
        <v>46389</v>
      </c>
      <c r="E63" t="s">
        <v>337</v>
      </c>
      <c r="F63" t="s">
        <v>336</v>
      </c>
      <c r="G63" t="s">
        <v>737</v>
      </c>
      <c r="H63" s="66">
        <v>46209.57916666667</v>
      </c>
    </row>
    <row r="64" spans="1:8" x14ac:dyDescent="0.3">
      <c r="A64">
        <v>1823496598</v>
      </c>
      <c r="B64" t="s">
        <v>69</v>
      </c>
      <c r="C64" t="s">
        <v>0</v>
      </c>
      <c r="D64" s="65">
        <v>46155</v>
      </c>
      <c r="E64" t="s">
        <v>337</v>
      </c>
      <c r="F64" t="s">
        <v>336</v>
      </c>
      <c r="G64" t="s">
        <v>335</v>
      </c>
      <c r="H64" s="66">
        <v>45975.022222222222</v>
      </c>
    </row>
    <row r="65" spans="1:8" x14ac:dyDescent="0.3">
      <c r="A65">
        <v>43208673515</v>
      </c>
      <c r="B65" t="s">
        <v>474</v>
      </c>
      <c r="C65" t="s">
        <v>0</v>
      </c>
      <c r="D65" s="65">
        <v>46015</v>
      </c>
      <c r="E65" t="s">
        <v>337</v>
      </c>
      <c r="F65" t="s">
        <v>336</v>
      </c>
      <c r="G65" t="s">
        <v>335</v>
      </c>
      <c r="H65" s="66">
        <v>45835.4</v>
      </c>
    </row>
    <row r="66" spans="1:8" x14ac:dyDescent="0.3">
      <c r="A66">
        <v>77819977515</v>
      </c>
      <c r="B66" t="s">
        <v>473</v>
      </c>
      <c r="C66" t="s">
        <v>0</v>
      </c>
      <c r="D66" s="65">
        <v>46170</v>
      </c>
      <c r="E66" t="s">
        <v>337</v>
      </c>
      <c r="F66" t="s">
        <v>336</v>
      </c>
      <c r="G66" t="s">
        <v>335</v>
      </c>
      <c r="H66" s="66">
        <v>45990.020833333336</v>
      </c>
    </row>
    <row r="67" spans="1:8" x14ac:dyDescent="0.3">
      <c r="A67">
        <v>4976773507</v>
      </c>
      <c r="B67" t="s">
        <v>612</v>
      </c>
      <c r="C67" t="s">
        <v>0</v>
      </c>
      <c r="D67" s="65">
        <v>46302</v>
      </c>
      <c r="E67" t="s">
        <v>337</v>
      </c>
      <c r="F67" t="s">
        <v>336</v>
      </c>
      <c r="G67" t="s">
        <v>335</v>
      </c>
      <c r="H67" s="66">
        <v>46122.720833333333</v>
      </c>
    </row>
    <row r="68" spans="1:8" x14ac:dyDescent="0.3">
      <c r="A68">
        <v>1869828526</v>
      </c>
      <c r="B68" t="s">
        <v>472</v>
      </c>
      <c r="C68" t="s">
        <v>0</v>
      </c>
      <c r="D68" s="65">
        <v>46343</v>
      </c>
      <c r="E68" t="s">
        <v>337</v>
      </c>
      <c r="F68" t="s">
        <v>336</v>
      </c>
      <c r="G68" t="s">
        <v>335</v>
      </c>
      <c r="H68" s="66">
        <v>46163.52847222222</v>
      </c>
    </row>
    <row r="69" spans="1:8" x14ac:dyDescent="0.3">
      <c r="A69">
        <v>5338561590</v>
      </c>
      <c r="B69" t="s">
        <v>471</v>
      </c>
      <c r="C69" t="s">
        <v>0</v>
      </c>
      <c r="D69" s="65">
        <v>46155</v>
      </c>
      <c r="E69" t="s">
        <v>337</v>
      </c>
      <c r="F69" t="s">
        <v>336</v>
      </c>
      <c r="G69" t="s">
        <v>335</v>
      </c>
      <c r="H69" s="66">
        <v>45975.019444444442</v>
      </c>
    </row>
    <row r="70" spans="1:8" x14ac:dyDescent="0.3">
      <c r="A70">
        <v>85764292506</v>
      </c>
      <c r="B70" t="s">
        <v>470</v>
      </c>
      <c r="C70" t="s">
        <v>0</v>
      </c>
      <c r="D70" s="65">
        <v>46155</v>
      </c>
      <c r="E70" t="s">
        <v>337</v>
      </c>
      <c r="F70" t="s">
        <v>336</v>
      </c>
      <c r="G70" t="s">
        <v>335</v>
      </c>
      <c r="H70" s="66">
        <v>45975.013888888891</v>
      </c>
    </row>
    <row r="71" spans="1:8" x14ac:dyDescent="0.3">
      <c r="A71">
        <v>79339700520</v>
      </c>
      <c r="B71" s="119" t="s">
        <v>71</v>
      </c>
      <c r="C71" t="s">
        <v>0</v>
      </c>
      <c r="D71" s="65">
        <v>46389</v>
      </c>
      <c r="E71" t="s">
        <v>337</v>
      </c>
      <c r="F71" t="s">
        <v>336</v>
      </c>
      <c r="G71" t="s">
        <v>335</v>
      </c>
      <c r="H71" s="66">
        <v>46209.579861111109</v>
      </c>
    </row>
    <row r="72" spans="1:8" x14ac:dyDescent="0.3">
      <c r="A72">
        <v>81306440530</v>
      </c>
      <c r="B72" t="s">
        <v>469</v>
      </c>
      <c r="C72" t="s">
        <v>0</v>
      </c>
      <c r="D72" s="65">
        <v>46155</v>
      </c>
      <c r="E72" t="s">
        <v>337</v>
      </c>
      <c r="F72" t="s">
        <v>336</v>
      </c>
      <c r="G72" t="s">
        <v>335</v>
      </c>
      <c r="H72" s="66">
        <v>45975.013888888891</v>
      </c>
    </row>
    <row r="73" spans="1:8" x14ac:dyDescent="0.3">
      <c r="A73">
        <v>44350228500</v>
      </c>
      <c r="B73" t="s">
        <v>468</v>
      </c>
      <c r="C73" t="s">
        <v>0</v>
      </c>
      <c r="D73" s="65">
        <v>46174</v>
      </c>
      <c r="E73" t="s">
        <v>337</v>
      </c>
      <c r="F73" t="s">
        <v>336</v>
      </c>
      <c r="G73" t="s">
        <v>335</v>
      </c>
      <c r="H73" s="66">
        <v>45994.013888888891</v>
      </c>
    </row>
    <row r="74" spans="1:8" x14ac:dyDescent="0.3">
      <c r="A74">
        <v>1691764523</v>
      </c>
      <c r="B74" t="s">
        <v>467</v>
      </c>
      <c r="C74" t="s">
        <v>0</v>
      </c>
      <c r="D74" s="65">
        <v>46155</v>
      </c>
      <c r="E74" t="s">
        <v>337</v>
      </c>
      <c r="F74" t="s">
        <v>336</v>
      </c>
      <c r="G74" t="s">
        <v>335</v>
      </c>
      <c r="H74" s="66">
        <v>45975.015277777777</v>
      </c>
    </row>
    <row r="75" spans="1:8" x14ac:dyDescent="0.3">
      <c r="A75">
        <v>3014239542</v>
      </c>
      <c r="B75" t="s">
        <v>466</v>
      </c>
      <c r="C75" t="s">
        <v>0</v>
      </c>
      <c r="D75" s="65">
        <v>46155</v>
      </c>
      <c r="E75" t="s">
        <v>337</v>
      </c>
      <c r="F75" t="s">
        <v>336</v>
      </c>
      <c r="G75" t="s">
        <v>335</v>
      </c>
      <c r="H75" s="66">
        <v>45975.018750000003</v>
      </c>
    </row>
    <row r="76" spans="1:8" x14ac:dyDescent="0.3">
      <c r="A76">
        <v>3046463006</v>
      </c>
      <c r="B76" t="s">
        <v>465</v>
      </c>
      <c r="C76" t="s">
        <v>0</v>
      </c>
      <c r="D76" s="65">
        <v>46046</v>
      </c>
      <c r="E76" t="s">
        <v>337</v>
      </c>
      <c r="F76" t="s">
        <v>336</v>
      </c>
      <c r="G76" t="s">
        <v>335</v>
      </c>
      <c r="H76" s="66">
        <v>45866.777777777781</v>
      </c>
    </row>
    <row r="77" spans="1:8" x14ac:dyDescent="0.3">
      <c r="A77">
        <v>4367547469</v>
      </c>
      <c r="B77" t="s">
        <v>464</v>
      </c>
      <c r="C77" t="s">
        <v>0</v>
      </c>
      <c r="D77" s="65">
        <v>46288</v>
      </c>
      <c r="E77" t="s">
        <v>345</v>
      </c>
      <c r="F77" t="s">
        <v>336</v>
      </c>
      <c r="G77" t="s">
        <v>335</v>
      </c>
      <c r="H77" s="66">
        <v>45923.488888888889</v>
      </c>
    </row>
    <row r="78" spans="1:8" x14ac:dyDescent="0.3">
      <c r="A78">
        <v>2693616506</v>
      </c>
      <c r="B78" t="s">
        <v>463</v>
      </c>
      <c r="C78" t="s">
        <v>0</v>
      </c>
      <c r="D78" s="65">
        <v>46155</v>
      </c>
      <c r="E78" t="s">
        <v>337</v>
      </c>
      <c r="F78" t="s">
        <v>336</v>
      </c>
      <c r="G78" t="s">
        <v>335</v>
      </c>
      <c r="H78" s="66">
        <v>45975.018055555556</v>
      </c>
    </row>
    <row r="79" spans="1:8" x14ac:dyDescent="0.3">
      <c r="A79">
        <v>5437076525</v>
      </c>
      <c r="B79" t="s">
        <v>462</v>
      </c>
      <c r="C79" t="s">
        <v>0</v>
      </c>
      <c r="D79" s="65">
        <v>46155</v>
      </c>
      <c r="E79" t="s">
        <v>337</v>
      </c>
      <c r="F79" t="s">
        <v>336</v>
      </c>
      <c r="G79" t="s">
        <v>335</v>
      </c>
      <c r="H79" s="66">
        <v>45975.015277777777</v>
      </c>
    </row>
    <row r="80" spans="1:8" x14ac:dyDescent="0.3">
      <c r="A80">
        <v>86846798579</v>
      </c>
      <c r="B80" t="s">
        <v>461</v>
      </c>
      <c r="C80" t="s">
        <v>0</v>
      </c>
      <c r="D80" s="65">
        <v>46155</v>
      </c>
      <c r="E80" t="s">
        <v>337</v>
      </c>
      <c r="F80" t="s">
        <v>336</v>
      </c>
      <c r="G80" t="s">
        <v>335</v>
      </c>
      <c r="H80" s="66">
        <v>45975.069444444445</v>
      </c>
    </row>
    <row r="81" spans="1:8" x14ac:dyDescent="0.3">
      <c r="A81">
        <v>79210929500</v>
      </c>
      <c r="B81" s="119" t="s">
        <v>1029</v>
      </c>
      <c r="C81" t="s">
        <v>0</v>
      </c>
      <c r="D81" s="65">
        <v>46389</v>
      </c>
      <c r="E81" t="s">
        <v>337</v>
      </c>
      <c r="F81" t="s">
        <v>336</v>
      </c>
      <c r="G81" t="s">
        <v>737</v>
      </c>
      <c r="H81" s="66">
        <v>46209.580555555556</v>
      </c>
    </row>
    <row r="82" spans="1:8" x14ac:dyDescent="0.3">
      <c r="A82">
        <v>51405660520</v>
      </c>
      <c r="B82" t="s">
        <v>460</v>
      </c>
      <c r="C82" t="s">
        <v>0</v>
      </c>
      <c r="D82" s="65">
        <v>46155</v>
      </c>
      <c r="E82" t="s">
        <v>337</v>
      </c>
      <c r="F82" t="s">
        <v>336</v>
      </c>
      <c r="G82" t="s">
        <v>335</v>
      </c>
      <c r="H82" s="66">
        <v>45975.021527777775</v>
      </c>
    </row>
    <row r="83" spans="1:8" x14ac:dyDescent="0.3">
      <c r="A83">
        <v>84498382587</v>
      </c>
      <c r="B83" t="s">
        <v>459</v>
      </c>
      <c r="C83" t="s">
        <v>0</v>
      </c>
      <c r="D83" s="65">
        <v>46305</v>
      </c>
      <c r="E83" t="s">
        <v>337</v>
      </c>
      <c r="F83" t="s">
        <v>336</v>
      </c>
      <c r="G83" t="s">
        <v>335</v>
      </c>
      <c r="H83" s="66">
        <v>46125.79583333333</v>
      </c>
    </row>
    <row r="84" spans="1:8" x14ac:dyDescent="0.3">
      <c r="A84">
        <v>3912249563</v>
      </c>
      <c r="B84" t="s">
        <v>79</v>
      </c>
      <c r="C84" t="s">
        <v>0</v>
      </c>
      <c r="D84" s="65">
        <v>46343</v>
      </c>
      <c r="E84" t="s">
        <v>337</v>
      </c>
      <c r="F84" t="s">
        <v>336</v>
      </c>
      <c r="G84" t="s">
        <v>335</v>
      </c>
      <c r="H84" s="66">
        <v>46163.895833333336</v>
      </c>
    </row>
    <row r="85" spans="1:8" x14ac:dyDescent="0.3">
      <c r="A85">
        <v>4963341581</v>
      </c>
      <c r="B85" t="s">
        <v>83</v>
      </c>
      <c r="C85" t="s">
        <v>0</v>
      </c>
      <c r="D85" s="65">
        <v>46155</v>
      </c>
      <c r="E85" t="s">
        <v>337</v>
      </c>
      <c r="F85" t="s">
        <v>336</v>
      </c>
      <c r="G85" t="s">
        <v>335</v>
      </c>
      <c r="H85" s="66">
        <v>45975.045138888891</v>
      </c>
    </row>
    <row r="86" spans="1:8" x14ac:dyDescent="0.3">
      <c r="A86">
        <v>86277807579</v>
      </c>
      <c r="B86" t="s">
        <v>731</v>
      </c>
      <c r="C86" t="s">
        <v>0</v>
      </c>
      <c r="D86" s="65">
        <v>46271</v>
      </c>
      <c r="E86" t="s">
        <v>337</v>
      </c>
      <c r="F86" t="s">
        <v>336</v>
      </c>
      <c r="G86" t="s">
        <v>335</v>
      </c>
      <c r="H86" s="66">
        <v>46091.45416666667</v>
      </c>
    </row>
    <row r="87" spans="1:8" x14ac:dyDescent="0.3">
      <c r="A87">
        <v>64541100525</v>
      </c>
      <c r="B87" t="s">
        <v>616</v>
      </c>
      <c r="C87" t="s">
        <v>0</v>
      </c>
      <c r="D87" s="65">
        <v>46052</v>
      </c>
      <c r="E87" t="s">
        <v>337</v>
      </c>
      <c r="F87" t="s">
        <v>351</v>
      </c>
      <c r="G87" t="s">
        <v>335</v>
      </c>
      <c r="H87" s="66">
        <v>46052.709722222222</v>
      </c>
    </row>
    <row r="88" spans="1:8" x14ac:dyDescent="0.3">
      <c r="A88">
        <v>1262697506</v>
      </c>
      <c r="B88" t="s">
        <v>458</v>
      </c>
      <c r="C88" t="s">
        <v>0</v>
      </c>
      <c r="D88" s="65">
        <v>46082</v>
      </c>
      <c r="E88" t="s">
        <v>337</v>
      </c>
      <c r="F88" t="s">
        <v>336</v>
      </c>
      <c r="G88" t="s">
        <v>335</v>
      </c>
      <c r="H88" s="66">
        <v>45902.310416666667</v>
      </c>
    </row>
    <row r="89" spans="1:8" x14ac:dyDescent="0.3">
      <c r="A89">
        <v>26202156848</v>
      </c>
      <c r="B89" t="s">
        <v>1023</v>
      </c>
      <c r="C89" t="s">
        <v>0</v>
      </c>
      <c r="D89" s="65">
        <v>46354</v>
      </c>
      <c r="E89" t="s">
        <v>337</v>
      </c>
      <c r="F89" t="s">
        <v>336</v>
      </c>
      <c r="G89" t="s">
        <v>335</v>
      </c>
      <c r="H89" s="66">
        <v>46174.773611111108</v>
      </c>
    </row>
    <row r="90" spans="1:8" x14ac:dyDescent="0.3">
      <c r="A90">
        <v>74233483504</v>
      </c>
      <c r="B90" t="s">
        <v>457</v>
      </c>
      <c r="C90" t="s">
        <v>0</v>
      </c>
      <c r="D90" s="65">
        <v>46155</v>
      </c>
      <c r="E90" t="s">
        <v>337</v>
      </c>
      <c r="F90" t="s">
        <v>336</v>
      </c>
      <c r="G90" t="s">
        <v>335</v>
      </c>
      <c r="H90" s="66">
        <v>45975.01666666667</v>
      </c>
    </row>
    <row r="91" spans="1:8" x14ac:dyDescent="0.3">
      <c r="A91">
        <v>51298945020</v>
      </c>
      <c r="B91" t="s">
        <v>456</v>
      </c>
      <c r="C91" t="s">
        <v>0</v>
      </c>
      <c r="D91" s="65">
        <v>46085</v>
      </c>
      <c r="E91" t="s">
        <v>337</v>
      </c>
      <c r="F91" t="s">
        <v>336</v>
      </c>
      <c r="G91" t="s">
        <v>335</v>
      </c>
      <c r="H91" s="66">
        <v>45905.910416666666</v>
      </c>
    </row>
    <row r="92" spans="1:8" x14ac:dyDescent="0.3">
      <c r="A92">
        <v>11066216460</v>
      </c>
      <c r="B92" t="s">
        <v>455</v>
      </c>
      <c r="C92" t="s">
        <v>0</v>
      </c>
      <c r="D92" s="65">
        <v>46191</v>
      </c>
      <c r="E92" t="s">
        <v>337</v>
      </c>
      <c r="F92" t="s">
        <v>336</v>
      </c>
      <c r="G92" t="s">
        <v>335</v>
      </c>
      <c r="H92" s="66">
        <v>46011.04791666667</v>
      </c>
    </row>
    <row r="93" spans="1:8" x14ac:dyDescent="0.3">
      <c r="A93">
        <v>35742534515</v>
      </c>
      <c r="B93" t="s">
        <v>454</v>
      </c>
      <c r="C93" t="s">
        <v>0</v>
      </c>
      <c r="D93" s="65">
        <v>46155</v>
      </c>
      <c r="E93" t="s">
        <v>337</v>
      </c>
      <c r="F93" t="s">
        <v>336</v>
      </c>
      <c r="G93" t="s">
        <v>335</v>
      </c>
      <c r="H93" s="66">
        <v>45975.022222222222</v>
      </c>
    </row>
    <row r="94" spans="1:8" x14ac:dyDescent="0.3">
      <c r="A94">
        <v>5503819535</v>
      </c>
      <c r="B94" t="s">
        <v>453</v>
      </c>
      <c r="C94" t="s">
        <v>0</v>
      </c>
      <c r="D94" s="65">
        <v>46155</v>
      </c>
      <c r="E94" t="s">
        <v>337</v>
      </c>
      <c r="F94" t="s">
        <v>336</v>
      </c>
      <c r="G94" t="s">
        <v>335</v>
      </c>
      <c r="H94" s="66">
        <v>45975.01666666667</v>
      </c>
    </row>
    <row r="95" spans="1:8" x14ac:dyDescent="0.3">
      <c r="A95">
        <v>64813428568</v>
      </c>
      <c r="B95" s="119" t="s">
        <v>1027</v>
      </c>
      <c r="C95" t="s">
        <v>0</v>
      </c>
      <c r="D95" s="65">
        <v>46389</v>
      </c>
      <c r="E95" t="s">
        <v>337</v>
      </c>
      <c r="F95" t="s">
        <v>336</v>
      </c>
      <c r="G95" t="s">
        <v>737</v>
      </c>
      <c r="H95" s="66">
        <v>46209.581944444442</v>
      </c>
    </row>
    <row r="96" spans="1:8" x14ac:dyDescent="0.3">
      <c r="A96">
        <v>38427583087</v>
      </c>
      <c r="B96" t="s">
        <v>164</v>
      </c>
      <c r="C96" t="s">
        <v>0</v>
      </c>
      <c r="D96" s="65">
        <v>46185</v>
      </c>
      <c r="E96" t="s">
        <v>337</v>
      </c>
      <c r="F96" t="s">
        <v>351</v>
      </c>
      <c r="G96" t="s">
        <v>335</v>
      </c>
      <c r="H96" s="66">
        <v>46185.033333333333</v>
      </c>
    </row>
    <row r="97" spans="1:8" x14ac:dyDescent="0.3">
      <c r="A97">
        <v>5636341547</v>
      </c>
      <c r="B97" t="s">
        <v>729</v>
      </c>
      <c r="C97" t="s">
        <v>0</v>
      </c>
      <c r="D97" s="65">
        <v>46278</v>
      </c>
      <c r="E97" t="s">
        <v>337</v>
      </c>
      <c r="F97" t="s">
        <v>336</v>
      </c>
      <c r="G97" t="s">
        <v>335</v>
      </c>
      <c r="H97" s="66">
        <v>46098.723611111112</v>
      </c>
    </row>
    <row r="98" spans="1:8" x14ac:dyDescent="0.3">
      <c r="A98">
        <v>6262143513</v>
      </c>
      <c r="B98" t="s">
        <v>452</v>
      </c>
      <c r="C98" t="s">
        <v>0</v>
      </c>
      <c r="D98" s="65">
        <v>46155</v>
      </c>
      <c r="E98" t="s">
        <v>337</v>
      </c>
      <c r="F98" t="s">
        <v>336</v>
      </c>
      <c r="G98" t="s">
        <v>335</v>
      </c>
      <c r="H98" s="66">
        <v>45975.01666666667</v>
      </c>
    </row>
    <row r="99" spans="1:8" x14ac:dyDescent="0.3">
      <c r="A99">
        <v>8585485507</v>
      </c>
      <c r="B99" t="s">
        <v>451</v>
      </c>
      <c r="C99" t="s">
        <v>0</v>
      </c>
      <c r="D99" s="65">
        <v>46155</v>
      </c>
      <c r="E99" t="s">
        <v>337</v>
      </c>
      <c r="F99" t="s">
        <v>336</v>
      </c>
      <c r="G99" t="s">
        <v>335</v>
      </c>
      <c r="H99" s="66">
        <v>45975.018055555556</v>
      </c>
    </row>
    <row r="100" spans="1:8" x14ac:dyDescent="0.3">
      <c r="A100">
        <v>77068637515</v>
      </c>
      <c r="B100" s="119" t="s">
        <v>85</v>
      </c>
      <c r="C100" t="s">
        <v>0</v>
      </c>
      <c r="D100" s="65">
        <v>46389</v>
      </c>
      <c r="E100" t="s">
        <v>337</v>
      </c>
      <c r="F100" t="s">
        <v>336</v>
      </c>
      <c r="G100" t="s">
        <v>335</v>
      </c>
      <c r="H100" s="66">
        <v>46209.581944444442</v>
      </c>
    </row>
    <row r="101" spans="1:8" x14ac:dyDescent="0.3">
      <c r="A101">
        <v>11876069520</v>
      </c>
      <c r="B101" t="s">
        <v>450</v>
      </c>
      <c r="C101" t="s">
        <v>0</v>
      </c>
      <c r="D101" s="65">
        <v>45975</v>
      </c>
      <c r="E101" t="s">
        <v>337</v>
      </c>
      <c r="F101" t="s">
        <v>351</v>
      </c>
      <c r="G101" t="s">
        <v>335</v>
      </c>
      <c r="H101" s="66">
        <v>45975.09652777778</v>
      </c>
    </row>
    <row r="102" spans="1:8" x14ac:dyDescent="0.3">
      <c r="A102">
        <v>86293809505</v>
      </c>
      <c r="B102" t="s">
        <v>449</v>
      </c>
      <c r="C102" t="s">
        <v>0</v>
      </c>
      <c r="D102" s="65">
        <v>46155</v>
      </c>
      <c r="E102" t="s">
        <v>337</v>
      </c>
      <c r="F102" t="s">
        <v>336</v>
      </c>
      <c r="G102" t="s">
        <v>335</v>
      </c>
      <c r="H102" s="66">
        <v>45975.070138888892</v>
      </c>
    </row>
    <row r="103" spans="1:8" x14ac:dyDescent="0.3">
      <c r="A103">
        <v>83916172549</v>
      </c>
      <c r="B103" t="s">
        <v>448</v>
      </c>
      <c r="C103" t="s">
        <v>389</v>
      </c>
      <c r="D103" s="65">
        <v>46086</v>
      </c>
      <c r="E103" t="s">
        <v>337</v>
      </c>
      <c r="F103" t="s">
        <v>336</v>
      </c>
      <c r="G103" t="s">
        <v>335</v>
      </c>
      <c r="H103" s="66">
        <v>45906.705555555556</v>
      </c>
    </row>
    <row r="104" spans="1:8" x14ac:dyDescent="0.3">
      <c r="A104">
        <v>86093066584</v>
      </c>
      <c r="B104" t="s">
        <v>447</v>
      </c>
      <c r="C104" t="s">
        <v>0</v>
      </c>
      <c r="D104" s="65">
        <v>46155</v>
      </c>
      <c r="E104" t="s">
        <v>337</v>
      </c>
      <c r="F104" t="s">
        <v>336</v>
      </c>
      <c r="G104" t="s">
        <v>335</v>
      </c>
      <c r="H104" s="66">
        <v>45975.020833333336</v>
      </c>
    </row>
    <row r="105" spans="1:8" x14ac:dyDescent="0.3">
      <c r="A105">
        <v>91623472504</v>
      </c>
      <c r="B105" t="s">
        <v>446</v>
      </c>
      <c r="C105" t="s">
        <v>0</v>
      </c>
      <c r="D105" s="65">
        <v>46159</v>
      </c>
      <c r="E105" t="s">
        <v>337</v>
      </c>
      <c r="F105" t="s">
        <v>336</v>
      </c>
      <c r="G105" t="s">
        <v>335</v>
      </c>
      <c r="H105" s="66">
        <v>45979.256249999999</v>
      </c>
    </row>
    <row r="106" spans="1:8" x14ac:dyDescent="0.3">
      <c r="A106">
        <v>1045497509</v>
      </c>
      <c r="B106" t="s">
        <v>445</v>
      </c>
      <c r="C106" t="s">
        <v>0</v>
      </c>
      <c r="D106" s="65">
        <v>46155</v>
      </c>
      <c r="E106" t="s">
        <v>337</v>
      </c>
      <c r="F106" t="s">
        <v>336</v>
      </c>
      <c r="G106" t="s">
        <v>335</v>
      </c>
      <c r="H106" s="66">
        <v>45975.015972222223</v>
      </c>
    </row>
    <row r="107" spans="1:8" x14ac:dyDescent="0.3">
      <c r="A107">
        <v>1081568500</v>
      </c>
      <c r="B107" t="s">
        <v>444</v>
      </c>
      <c r="C107" t="s">
        <v>0</v>
      </c>
      <c r="D107" s="65">
        <v>45986</v>
      </c>
      <c r="E107" t="s">
        <v>337</v>
      </c>
      <c r="F107" t="s">
        <v>351</v>
      </c>
      <c r="G107" t="s">
        <v>335</v>
      </c>
      <c r="H107" s="66">
        <v>45986.695833333331</v>
      </c>
    </row>
    <row r="108" spans="1:8" x14ac:dyDescent="0.3">
      <c r="A108">
        <v>14016597641</v>
      </c>
      <c r="B108" t="s">
        <v>443</v>
      </c>
      <c r="C108" t="s">
        <v>0</v>
      </c>
      <c r="D108" s="65">
        <v>46141</v>
      </c>
      <c r="E108" t="s">
        <v>337</v>
      </c>
      <c r="F108" t="s">
        <v>336</v>
      </c>
      <c r="G108" t="s">
        <v>335</v>
      </c>
      <c r="H108" s="66">
        <v>45961.716666666667</v>
      </c>
    </row>
    <row r="109" spans="1:8" x14ac:dyDescent="0.3">
      <c r="A109">
        <v>14679612568</v>
      </c>
      <c r="B109" t="s">
        <v>442</v>
      </c>
      <c r="C109" t="s">
        <v>0</v>
      </c>
      <c r="D109" s="65">
        <v>46155</v>
      </c>
      <c r="E109" t="s">
        <v>337</v>
      </c>
      <c r="F109" t="s">
        <v>336</v>
      </c>
      <c r="G109" t="s">
        <v>335</v>
      </c>
      <c r="H109" s="66">
        <v>45975.013888888891</v>
      </c>
    </row>
    <row r="110" spans="1:8" x14ac:dyDescent="0.3">
      <c r="A110">
        <v>2168019584</v>
      </c>
      <c r="B110" t="s">
        <v>441</v>
      </c>
      <c r="C110" t="s">
        <v>0</v>
      </c>
      <c r="D110" s="65">
        <v>46155</v>
      </c>
      <c r="E110" t="s">
        <v>337</v>
      </c>
      <c r="F110" t="s">
        <v>336</v>
      </c>
      <c r="G110" t="s">
        <v>335</v>
      </c>
      <c r="H110" s="66">
        <v>45975.020138888889</v>
      </c>
    </row>
    <row r="111" spans="1:8" x14ac:dyDescent="0.3">
      <c r="A111">
        <v>5781911561</v>
      </c>
      <c r="B111" t="s">
        <v>440</v>
      </c>
      <c r="C111" t="s">
        <v>0</v>
      </c>
      <c r="D111" s="65">
        <v>46103</v>
      </c>
      <c r="E111" t="s">
        <v>337</v>
      </c>
      <c r="F111" t="s">
        <v>336</v>
      </c>
      <c r="G111" t="s">
        <v>335</v>
      </c>
      <c r="H111" s="66">
        <v>45923.48333333333</v>
      </c>
    </row>
    <row r="112" spans="1:8" x14ac:dyDescent="0.3">
      <c r="A112">
        <v>7957240550</v>
      </c>
      <c r="B112" t="s">
        <v>439</v>
      </c>
      <c r="C112" t="s">
        <v>0</v>
      </c>
      <c r="D112" s="65">
        <v>46323</v>
      </c>
      <c r="E112" t="s">
        <v>345</v>
      </c>
      <c r="F112" t="s">
        <v>336</v>
      </c>
      <c r="G112" t="s">
        <v>335</v>
      </c>
      <c r="H112" s="66">
        <v>45958.773611111108</v>
      </c>
    </row>
    <row r="113" spans="1:8" x14ac:dyDescent="0.3">
      <c r="A113">
        <v>8535270590</v>
      </c>
      <c r="B113" t="s">
        <v>438</v>
      </c>
      <c r="C113" t="s">
        <v>0</v>
      </c>
      <c r="D113" s="65">
        <v>46155</v>
      </c>
      <c r="E113" t="s">
        <v>337</v>
      </c>
      <c r="F113" t="s">
        <v>336</v>
      </c>
      <c r="G113" t="s">
        <v>335</v>
      </c>
      <c r="H113" s="66">
        <v>45975.020138888889</v>
      </c>
    </row>
    <row r="114" spans="1:8" x14ac:dyDescent="0.3">
      <c r="A114">
        <v>53078616568</v>
      </c>
      <c r="B114" t="s">
        <v>615</v>
      </c>
      <c r="C114" t="s">
        <v>0</v>
      </c>
      <c r="D114" s="65">
        <v>46319</v>
      </c>
      <c r="E114" t="s">
        <v>337</v>
      </c>
      <c r="F114" t="s">
        <v>336</v>
      </c>
      <c r="G114" t="s">
        <v>335</v>
      </c>
      <c r="H114" s="66">
        <v>46139.530555555553</v>
      </c>
    </row>
    <row r="115" spans="1:8" x14ac:dyDescent="0.3">
      <c r="A115">
        <v>39684524889</v>
      </c>
      <c r="B115" t="s">
        <v>792</v>
      </c>
      <c r="C115" t="s">
        <v>0</v>
      </c>
      <c r="D115" s="65">
        <v>46188</v>
      </c>
      <c r="E115" t="s">
        <v>337</v>
      </c>
      <c r="F115" t="s">
        <v>351</v>
      </c>
      <c r="G115" t="s">
        <v>335</v>
      </c>
      <c r="H115" s="66">
        <v>46188.54583333333</v>
      </c>
    </row>
    <row r="116" spans="1:8" x14ac:dyDescent="0.3">
      <c r="A116">
        <v>77009223572</v>
      </c>
      <c r="B116" t="s">
        <v>437</v>
      </c>
      <c r="C116" t="s">
        <v>0</v>
      </c>
      <c r="D116" s="65">
        <v>46323</v>
      </c>
      <c r="E116" t="s">
        <v>345</v>
      </c>
      <c r="F116" t="s">
        <v>336</v>
      </c>
      <c r="G116" t="s">
        <v>335</v>
      </c>
      <c r="H116" s="66">
        <v>45958.773611111108</v>
      </c>
    </row>
    <row r="117" spans="1:8" x14ac:dyDescent="0.3">
      <c r="A117">
        <v>77720296591</v>
      </c>
      <c r="B117" t="s">
        <v>187</v>
      </c>
      <c r="C117" t="s">
        <v>0</v>
      </c>
      <c r="D117" s="65">
        <v>46056</v>
      </c>
      <c r="E117" t="s">
        <v>337</v>
      </c>
      <c r="F117" t="s">
        <v>336</v>
      </c>
      <c r="G117" t="s">
        <v>335</v>
      </c>
      <c r="H117" s="66">
        <v>45876.772222222222</v>
      </c>
    </row>
    <row r="118" spans="1:8" x14ac:dyDescent="0.3">
      <c r="A118">
        <v>66846978534</v>
      </c>
      <c r="B118" t="s">
        <v>436</v>
      </c>
      <c r="C118" t="s">
        <v>0</v>
      </c>
      <c r="D118" s="65">
        <v>46322</v>
      </c>
      <c r="E118" t="s">
        <v>337</v>
      </c>
      <c r="F118" t="s">
        <v>336</v>
      </c>
      <c r="G118" t="s">
        <v>335</v>
      </c>
      <c r="H118" s="66">
        <v>46142.901388888888</v>
      </c>
    </row>
    <row r="119" spans="1:8" x14ac:dyDescent="0.3">
      <c r="A119">
        <v>78952590597</v>
      </c>
      <c r="B119" t="s">
        <v>435</v>
      </c>
      <c r="C119" t="s">
        <v>0</v>
      </c>
      <c r="D119" s="65">
        <v>46013</v>
      </c>
      <c r="E119" t="s">
        <v>337</v>
      </c>
      <c r="F119" t="s">
        <v>336</v>
      </c>
      <c r="G119" t="s">
        <v>335</v>
      </c>
      <c r="H119" s="66">
        <v>45833.508333333331</v>
      </c>
    </row>
    <row r="120" spans="1:8" x14ac:dyDescent="0.3">
      <c r="A120">
        <v>6783404552</v>
      </c>
      <c r="B120" t="s">
        <v>93</v>
      </c>
      <c r="C120" t="s">
        <v>0</v>
      </c>
      <c r="D120" s="65">
        <v>45726</v>
      </c>
      <c r="E120" t="s">
        <v>337</v>
      </c>
      <c r="F120" t="s">
        <v>351</v>
      </c>
      <c r="G120" t="s">
        <v>335</v>
      </c>
      <c r="H120" s="66">
        <v>45726.344444444447</v>
      </c>
    </row>
    <row r="121" spans="1:8" x14ac:dyDescent="0.3">
      <c r="A121">
        <v>91931584591</v>
      </c>
      <c r="B121" t="s">
        <v>196</v>
      </c>
      <c r="C121" t="s">
        <v>0</v>
      </c>
      <c r="D121" s="65">
        <v>46174</v>
      </c>
      <c r="E121" t="s">
        <v>337</v>
      </c>
      <c r="F121" t="s">
        <v>336</v>
      </c>
      <c r="G121" t="s">
        <v>335</v>
      </c>
      <c r="H121" s="66">
        <v>45994.112500000003</v>
      </c>
    </row>
    <row r="122" spans="1:8" x14ac:dyDescent="0.3">
      <c r="A122">
        <v>85984713560</v>
      </c>
      <c r="B122" t="s">
        <v>609</v>
      </c>
      <c r="C122" t="s">
        <v>0</v>
      </c>
      <c r="D122" s="65">
        <v>46251</v>
      </c>
      <c r="E122" t="s">
        <v>337</v>
      </c>
      <c r="F122" t="s">
        <v>336</v>
      </c>
      <c r="G122" t="s">
        <v>335</v>
      </c>
      <c r="H122" s="66">
        <v>46071.793749999997</v>
      </c>
    </row>
    <row r="123" spans="1:8" x14ac:dyDescent="0.3">
      <c r="A123">
        <v>3844011471</v>
      </c>
      <c r="B123" t="s">
        <v>434</v>
      </c>
      <c r="C123" t="s">
        <v>0</v>
      </c>
      <c r="D123" s="65">
        <v>46194</v>
      </c>
      <c r="E123" t="s">
        <v>337</v>
      </c>
      <c r="F123" t="s">
        <v>336</v>
      </c>
      <c r="G123" t="s">
        <v>335</v>
      </c>
      <c r="H123" s="66">
        <v>46014.03402777778</v>
      </c>
    </row>
    <row r="124" spans="1:8" x14ac:dyDescent="0.3">
      <c r="A124">
        <v>85517267572</v>
      </c>
      <c r="B124" t="s">
        <v>433</v>
      </c>
      <c r="C124" t="s">
        <v>0</v>
      </c>
      <c r="D124" s="65">
        <v>46139</v>
      </c>
      <c r="E124" t="s">
        <v>337</v>
      </c>
      <c r="F124" t="s">
        <v>351</v>
      </c>
      <c r="G124" t="s">
        <v>335</v>
      </c>
      <c r="H124" s="66">
        <v>46139.520833333336</v>
      </c>
    </row>
    <row r="125" spans="1:8" x14ac:dyDescent="0.3">
      <c r="A125">
        <v>50705741591</v>
      </c>
      <c r="B125" t="s">
        <v>606</v>
      </c>
      <c r="C125" t="s">
        <v>0</v>
      </c>
      <c r="D125" s="65">
        <v>46257</v>
      </c>
      <c r="E125" t="s">
        <v>337</v>
      </c>
      <c r="F125" t="s">
        <v>336</v>
      </c>
      <c r="G125" t="s">
        <v>335</v>
      </c>
      <c r="H125" s="66">
        <v>46077.852083333331</v>
      </c>
    </row>
    <row r="126" spans="1:8" x14ac:dyDescent="0.3">
      <c r="A126">
        <v>28447808572</v>
      </c>
      <c r="B126" t="s">
        <v>432</v>
      </c>
      <c r="C126" t="s">
        <v>0</v>
      </c>
      <c r="D126" s="65">
        <v>46034</v>
      </c>
      <c r="E126" t="s">
        <v>337</v>
      </c>
      <c r="F126" t="s">
        <v>336</v>
      </c>
      <c r="G126" t="s">
        <v>335</v>
      </c>
      <c r="H126" s="66">
        <v>45854.541666666664</v>
      </c>
    </row>
    <row r="127" spans="1:8" x14ac:dyDescent="0.3">
      <c r="A127">
        <v>8143544320</v>
      </c>
      <c r="B127" t="s">
        <v>732</v>
      </c>
      <c r="C127" t="s">
        <v>0</v>
      </c>
      <c r="D127" s="65">
        <v>46270</v>
      </c>
      <c r="E127" t="s">
        <v>337</v>
      </c>
      <c r="F127" t="s">
        <v>336</v>
      </c>
      <c r="G127" t="s">
        <v>335</v>
      </c>
      <c r="H127" s="66">
        <v>46090.742361111108</v>
      </c>
    </row>
    <row r="128" spans="1:8" x14ac:dyDescent="0.3">
      <c r="A128">
        <v>90633989568</v>
      </c>
      <c r="B128" t="s">
        <v>431</v>
      </c>
      <c r="C128" t="s">
        <v>0</v>
      </c>
      <c r="D128" s="65">
        <v>46050</v>
      </c>
      <c r="E128" t="s">
        <v>345</v>
      </c>
      <c r="F128" t="s">
        <v>351</v>
      </c>
      <c r="G128" t="s">
        <v>335</v>
      </c>
      <c r="H128" s="66">
        <v>46050.771527777775</v>
      </c>
    </row>
    <row r="129" spans="1:8" x14ac:dyDescent="0.3">
      <c r="A129">
        <v>54604761515</v>
      </c>
      <c r="B129" t="s">
        <v>430</v>
      </c>
      <c r="C129" t="s">
        <v>0</v>
      </c>
      <c r="D129" s="65">
        <v>46292</v>
      </c>
      <c r="E129" t="s">
        <v>337</v>
      </c>
      <c r="F129" t="s">
        <v>336</v>
      </c>
      <c r="G129" t="s">
        <v>335</v>
      </c>
      <c r="H129" s="66">
        <v>46112.890277777777</v>
      </c>
    </row>
    <row r="130" spans="1:8" x14ac:dyDescent="0.3">
      <c r="A130">
        <v>39192954553</v>
      </c>
      <c r="B130" t="s">
        <v>429</v>
      </c>
      <c r="C130" t="s">
        <v>0</v>
      </c>
      <c r="D130" s="65">
        <v>46343</v>
      </c>
      <c r="E130" t="s">
        <v>337</v>
      </c>
      <c r="F130" t="s">
        <v>336</v>
      </c>
      <c r="G130" t="s">
        <v>335</v>
      </c>
      <c r="H130" s="66">
        <v>46163.871527777781</v>
      </c>
    </row>
    <row r="131" spans="1:8" x14ac:dyDescent="0.3">
      <c r="A131">
        <v>22496617828</v>
      </c>
      <c r="B131" t="s">
        <v>895</v>
      </c>
      <c r="C131" t="s">
        <v>0</v>
      </c>
      <c r="D131" s="65">
        <v>46111</v>
      </c>
      <c r="E131" t="s">
        <v>345</v>
      </c>
      <c r="F131" t="s">
        <v>351</v>
      </c>
      <c r="G131" t="s">
        <v>335</v>
      </c>
      <c r="H131" s="66">
        <v>46111.8125</v>
      </c>
    </row>
    <row r="132" spans="1:8" x14ac:dyDescent="0.3">
      <c r="A132">
        <v>77693949534</v>
      </c>
      <c r="B132" t="s">
        <v>224</v>
      </c>
      <c r="C132" t="s">
        <v>0</v>
      </c>
      <c r="D132" s="65">
        <v>46145</v>
      </c>
      <c r="E132" t="s">
        <v>337</v>
      </c>
      <c r="F132" t="s">
        <v>336</v>
      </c>
      <c r="G132" t="s">
        <v>335</v>
      </c>
      <c r="H132" s="66">
        <v>45965.731944444444</v>
      </c>
    </row>
    <row r="133" spans="1:8" x14ac:dyDescent="0.3">
      <c r="A133">
        <v>16234081568</v>
      </c>
      <c r="B133" t="s">
        <v>428</v>
      </c>
      <c r="C133" t="s">
        <v>0</v>
      </c>
      <c r="D133" s="65">
        <v>46155</v>
      </c>
      <c r="E133" t="s">
        <v>337</v>
      </c>
      <c r="F133" t="s">
        <v>336</v>
      </c>
      <c r="G133" t="s">
        <v>335</v>
      </c>
      <c r="H133" s="66">
        <v>45975.01666666667</v>
      </c>
    </row>
    <row r="134" spans="1:8" x14ac:dyDescent="0.3">
      <c r="A134">
        <v>21419590553</v>
      </c>
      <c r="B134" t="s">
        <v>427</v>
      </c>
      <c r="C134" t="s">
        <v>0</v>
      </c>
      <c r="D134" s="65">
        <v>46291</v>
      </c>
      <c r="E134" t="s">
        <v>337</v>
      </c>
      <c r="F134" t="s">
        <v>336</v>
      </c>
      <c r="G134" t="s">
        <v>335</v>
      </c>
      <c r="H134" s="66">
        <v>46111.738888888889</v>
      </c>
    </row>
    <row r="135" spans="1:8" x14ac:dyDescent="0.3">
      <c r="A135">
        <v>14772248587</v>
      </c>
      <c r="B135" t="s">
        <v>426</v>
      </c>
      <c r="C135" t="s">
        <v>0</v>
      </c>
      <c r="D135" s="65">
        <v>46273</v>
      </c>
      <c r="E135" t="s">
        <v>345</v>
      </c>
      <c r="F135" t="s">
        <v>336</v>
      </c>
      <c r="G135" t="s">
        <v>335</v>
      </c>
      <c r="H135" s="66">
        <v>45908.84375</v>
      </c>
    </row>
    <row r="136" spans="1:8" x14ac:dyDescent="0.3">
      <c r="A136">
        <v>34720090559</v>
      </c>
      <c r="B136" t="s">
        <v>548</v>
      </c>
      <c r="C136" t="s">
        <v>0</v>
      </c>
      <c r="D136" s="65">
        <v>46384</v>
      </c>
      <c r="E136" t="s">
        <v>337</v>
      </c>
      <c r="F136" t="s">
        <v>336</v>
      </c>
      <c r="G136" t="s">
        <v>335</v>
      </c>
      <c r="H136" s="66">
        <v>46204.867361111108</v>
      </c>
    </row>
    <row r="137" spans="1:8" x14ac:dyDescent="0.3">
      <c r="A137">
        <v>81889755591</v>
      </c>
      <c r="B137" s="119" t="s">
        <v>98</v>
      </c>
      <c r="C137" t="s">
        <v>0</v>
      </c>
      <c r="D137" s="65">
        <v>46389</v>
      </c>
      <c r="E137" t="s">
        <v>337</v>
      </c>
      <c r="F137" t="s">
        <v>336</v>
      </c>
      <c r="G137" t="s">
        <v>335</v>
      </c>
      <c r="H137" s="66">
        <v>46209.584027777775</v>
      </c>
    </row>
    <row r="138" spans="1:8" x14ac:dyDescent="0.3">
      <c r="A138">
        <v>83238530534</v>
      </c>
      <c r="B138" s="119" t="s">
        <v>901</v>
      </c>
      <c r="C138" t="s">
        <v>0</v>
      </c>
      <c r="D138" s="65">
        <v>46389</v>
      </c>
      <c r="E138" t="s">
        <v>337</v>
      </c>
      <c r="F138" t="s">
        <v>336</v>
      </c>
      <c r="G138" t="s">
        <v>737</v>
      </c>
      <c r="H138" s="66">
        <v>46209.585416666669</v>
      </c>
    </row>
    <row r="139" spans="1:8" x14ac:dyDescent="0.3">
      <c r="A139">
        <v>64761428520</v>
      </c>
      <c r="B139" t="s">
        <v>425</v>
      </c>
      <c r="C139" t="s">
        <v>0</v>
      </c>
      <c r="D139" s="65">
        <v>46343</v>
      </c>
      <c r="E139" t="s">
        <v>337</v>
      </c>
      <c r="F139" t="s">
        <v>336</v>
      </c>
      <c r="G139" t="s">
        <v>335</v>
      </c>
      <c r="H139" s="66">
        <v>46163.740972222222</v>
      </c>
    </row>
    <row r="140" spans="1:8" x14ac:dyDescent="0.3">
      <c r="A140">
        <v>220064512</v>
      </c>
      <c r="B140" t="s">
        <v>424</v>
      </c>
      <c r="C140" t="s">
        <v>0</v>
      </c>
      <c r="D140" s="65">
        <v>46155</v>
      </c>
      <c r="E140" t="s">
        <v>337</v>
      </c>
      <c r="F140" t="s">
        <v>336</v>
      </c>
      <c r="G140" t="s">
        <v>335</v>
      </c>
      <c r="H140" s="66">
        <v>45975.020138888889</v>
      </c>
    </row>
    <row r="141" spans="1:8" x14ac:dyDescent="0.3">
      <c r="A141">
        <v>94840555591</v>
      </c>
      <c r="B141" t="s">
        <v>102</v>
      </c>
      <c r="C141" t="s">
        <v>0</v>
      </c>
      <c r="D141" s="65">
        <v>46321</v>
      </c>
      <c r="E141" t="s">
        <v>337</v>
      </c>
      <c r="F141" t="s">
        <v>336</v>
      </c>
      <c r="G141" t="s">
        <v>335</v>
      </c>
      <c r="H141" s="66">
        <v>46141.844444444447</v>
      </c>
    </row>
    <row r="142" spans="1:8" x14ac:dyDescent="0.3">
      <c r="A142">
        <v>90569440530</v>
      </c>
      <c r="B142" t="s">
        <v>423</v>
      </c>
      <c r="C142" t="s">
        <v>0</v>
      </c>
      <c r="D142" s="65">
        <v>46081</v>
      </c>
      <c r="E142" t="s">
        <v>337</v>
      </c>
      <c r="F142" t="s">
        <v>336</v>
      </c>
      <c r="G142" t="s">
        <v>335</v>
      </c>
      <c r="H142" s="66">
        <v>45901.590277777781</v>
      </c>
    </row>
    <row r="143" spans="1:8" x14ac:dyDescent="0.3">
      <c r="A143">
        <v>74206010544</v>
      </c>
      <c r="B143" t="s">
        <v>422</v>
      </c>
      <c r="C143" t="s">
        <v>0</v>
      </c>
      <c r="D143" s="65">
        <v>46155</v>
      </c>
      <c r="E143" t="s">
        <v>337</v>
      </c>
      <c r="F143" t="s">
        <v>336</v>
      </c>
      <c r="G143" t="s">
        <v>335</v>
      </c>
      <c r="H143" s="66">
        <v>45975.022916666669</v>
      </c>
    </row>
    <row r="144" spans="1:8" x14ac:dyDescent="0.3">
      <c r="A144">
        <v>1160088810</v>
      </c>
      <c r="B144" t="s">
        <v>421</v>
      </c>
      <c r="C144" t="s">
        <v>0</v>
      </c>
      <c r="D144" s="65">
        <v>46116</v>
      </c>
      <c r="E144" t="s">
        <v>337</v>
      </c>
      <c r="F144" t="s">
        <v>336</v>
      </c>
      <c r="G144" t="s">
        <v>335</v>
      </c>
      <c r="H144" s="66">
        <v>45936.45208333333</v>
      </c>
    </row>
    <row r="145" spans="1:8" x14ac:dyDescent="0.3">
      <c r="A145">
        <v>765859564</v>
      </c>
      <c r="B145" t="s">
        <v>1022</v>
      </c>
      <c r="C145" t="s">
        <v>0</v>
      </c>
      <c r="D145" s="65">
        <v>46368</v>
      </c>
      <c r="E145" t="s">
        <v>337</v>
      </c>
      <c r="F145" t="s">
        <v>336</v>
      </c>
      <c r="G145" t="s">
        <v>335</v>
      </c>
      <c r="H145" s="66">
        <v>46188.474305555559</v>
      </c>
    </row>
    <row r="146" spans="1:8" x14ac:dyDescent="0.3">
      <c r="A146">
        <v>80067891500</v>
      </c>
      <c r="B146" t="s">
        <v>420</v>
      </c>
      <c r="C146" t="s">
        <v>0</v>
      </c>
      <c r="D146" s="65">
        <v>46175</v>
      </c>
      <c r="E146" t="s">
        <v>337</v>
      </c>
      <c r="F146" t="s">
        <v>336</v>
      </c>
      <c r="G146" t="s">
        <v>335</v>
      </c>
      <c r="H146" s="66">
        <v>45995.056250000001</v>
      </c>
    </row>
    <row r="147" spans="1:8" x14ac:dyDescent="0.3">
      <c r="A147">
        <v>6148292599</v>
      </c>
      <c r="B147" t="s">
        <v>216</v>
      </c>
      <c r="C147" t="s">
        <v>0</v>
      </c>
      <c r="D147" s="65">
        <v>46092</v>
      </c>
      <c r="E147" t="s">
        <v>337</v>
      </c>
      <c r="F147" t="s">
        <v>336</v>
      </c>
      <c r="G147" t="s">
        <v>335</v>
      </c>
      <c r="H147" s="66">
        <v>45912.586805555555</v>
      </c>
    </row>
    <row r="148" spans="1:8" x14ac:dyDescent="0.3">
      <c r="A148">
        <v>81863110500</v>
      </c>
      <c r="B148" t="s">
        <v>419</v>
      </c>
      <c r="C148" t="s">
        <v>0</v>
      </c>
      <c r="D148" s="65">
        <v>46008</v>
      </c>
      <c r="E148" t="s">
        <v>337</v>
      </c>
      <c r="F148" t="s">
        <v>336</v>
      </c>
      <c r="G148" t="s">
        <v>335</v>
      </c>
      <c r="H148" s="66">
        <v>45828.756944444445</v>
      </c>
    </row>
    <row r="149" spans="1:8" x14ac:dyDescent="0.3">
      <c r="A149">
        <v>810638576</v>
      </c>
      <c r="B149" t="s">
        <v>418</v>
      </c>
      <c r="C149" t="s">
        <v>0</v>
      </c>
      <c r="D149" s="65">
        <v>45749</v>
      </c>
      <c r="E149" t="s">
        <v>337</v>
      </c>
      <c r="F149" t="s">
        <v>351</v>
      </c>
      <c r="G149" t="s">
        <v>335</v>
      </c>
      <c r="H149" s="66">
        <v>45749.847222222219</v>
      </c>
    </row>
    <row r="150" spans="1:8" x14ac:dyDescent="0.3">
      <c r="A150">
        <v>57946221568</v>
      </c>
      <c r="B150" s="119" t="s">
        <v>202</v>
      </c>
      <c r="C150" t="s">
        <v>0</v>
      </c>
      <c r="D150" s="65">
        <v>46389</v>
      </c>
      <c r="E150" t="s">
        <v>337</v>
      </c>
      <c r="F150" t="s">
        <v>336</v>
      </c>
      <c r="G150" t="s">
        <v>335</v>
      </c>
      <c r="H150" s="66">
        <v>46209.586111111108</v>
      </c>
    </row>
    <row r="151" spans="1:8" x14ac:dyDescent="0.3">
      <c r="A151">
        <v>93902905549</v>
      </c>
      <c r="B151" t="s">
        <v>417</v>
      </c>
      <c r="C151" t="s">
        <v>0</v>
      </c>
      <c r="D151" s="65">
        <v>45593</v>
      </c>
      <c r="E151" t="s">
        <v>337</v>
      </c>
      <c r="F151" t="s">
        <v>351</v>
      </c>
      <c r="G151" t="s">
        <v>335</v>
      </c>
      <c r="H151" s="66">
        <v>45593.374305555553</v>
      </c>
    </row>
    <row r="152" spans="1:8" x14ac:dyDescent="0.3">
      <c r="A152">
        <v>1049349563</v>
      </c>
      <c r="B152" s="119" t="s">
        <v>805</v>
      </c>
      <c r="C152" t="s">
        <v>0</v>
      </c>
      <c r="D152" s="65">
        <v>46389</v>
      </c>
      <c r="E152" t="s">
        <v>337</v>
      </c>
      <c r="F152" t="s">
        <v>336</v>
      </c>
      <c r="G152" t="s">
        <v>737</v>
      </c>
      <c r="H152" s="66">
        <v>46209.586111111108</v>
      </c>
    </row>
    <row r="153" spans="1:8" x14ac:dyDescent="0.3">
      <c r="A153">
        <v>3589652500</v>
      </c>
      <c r="B153" t="s">
        <v>290</v>
      </c>
      <c r="C153" t="s">
        <v>389</v>
      </c>
      <c r="D153" s="65">
        <v>46231</v>
      </c>
      <c r="E153" t="s">
        <v>345</v>
      </c>
      <c r="F153" t="s">
        <v>336</v>
      </c>
      <c r="G153" t="s">
        <v>335</v>
      </c>
      <c r="H153" s="66">
        <v>45866.479166666664</v>
      </c>
    </row>
    <row r="154" spans="1:8" x14ac:dyDescent="0.3">
      <c r="A154">
        <v>93457740500</v>
      </c>
      <c r="B154" t="s">
        <v>191</v>
      </c>
      <c r="C154" t="s">
        <v>0</v>
      </c>
      <c r="D154" s="65">
        <v>46034</v>
      </c>
      <c r="E154" t="s">
        <v>337</v>
      </c>
      <c r="F154" t="s">
        <v>336</v>
      </c>
      <c r="G154" t="s">
        <v>335</v>
      </c>
      <c r="H154" s="66">
        <v>45854.307638888888</v>
      </c>
    </row>
    <row r="155" spans="1:8" x14ac:dyDescent="0.3">
      <c r="A155">
        <v>78609780597</v>
      </c>
      <c r="B155" t="s">
        <v>416</v>
      </c>
      <c r="C155" t="s">
        <v>0</v>
      </c>
      <c r="D155" s="65">
        <v>45975</v>
      </c>
      <c r="E155" t="s">
        <v>337</v>
      </c>
      <c r="F155" t="s">
        <v>351</v>
      </c>
      <c r="G155" t="s">
        <v>335</v>
      </c>
      <c r="H155" s="66">
        <v>45975.021527777775</v>
      </c>
    </row>
    <row r="156" spans="1:8" x14ac:dyDescent="0.3">
      <c r="A156">
        <v>510903509</v>
      </c>
      <c r="B156" t="s">
        <v>415</v>
      </c>
      <c r="C156" t="s">
        <v>0</v>
      </c>
      <c r="D156" s="65">
        <v>46155</v>
      </c>
      <c r="E156" t="s">
        <v>337</v>
      </c>
      <c r="F156" t="s">
        <v>336</v>
      </c>
      <c r="G156" t="s">
        <v>335</v>
      </c>
      <c r="H156" s="66">
        <v>45975.023611111108</v>
      </c>
    </row>
    <row r="157" spans="1:8" x14ac:dyDescent="0.3">
      <c r="A157">
        <v>567650537</v>
      </c>
      <c r="B157" t="s">
        <v>414</v>
      </c>
      <c r="C157" t="s">
        <v>0</v>
      </c>
      <c r="D157" s="65">
        <v>46155</v>
      </c>
      <c r="E157" t="s">
        <v>337</v>
      </c>
      <c r="F157" t="s">
        <v>336</v>
      </c>
      <c r="G157" t="s">
        <v>335</v>
      </c>
      <c r="H157" s="66">
        <v>45975.022222222222</v>
      </c>
    </row>
    <row r="158" spans="1:8" x14ac:dyDescent="0.3">
      <c r="A158">
        <v>1195164548</v>
      </c>
      <c r="B158" t="s">
        <v>413</v>
      </c>
      <c r="C158" t="s">
        <v>0</v>
      </c>
      <c r="D158" s="65">
        <v>46175</v>
      </c>
      <c r="E158" t="s">
        <v>337</v>
      </c>
      <c r="F158" t="s">
        <v>336</v>
      </c>
      <c r="G158" t="s">
        <v>335</v>
      </c>
      <c r="H158" s="66">
        <v>45995.447916666664</v>
      </c>
    </row>
    <row r="159" spans="1:8" x14ac:dyDescent="0.3">
      <c r="A159">
        <v>2285721501</v>
      </c>
      <c r="B159" t="s">
        <v>412</v>
      </c>
      <c r="C159" t="s">
        <v>0</v>
      </c>
      <c r="D159" s="65">
        <v>46155</v>
      </c>
      <c r="E159" t="s">
        <v>337</v>
      </c>
      <c r="F159" t="s">
        <v>336</v>
      </c>
      <c r="G159" t="s">
        <v>335</v>
      </c>
      <c r="H159" s="66">
        <v>45975.020833333336</v>
      </c>
    </row>
    <row r="160" spans="1:8" x14ac:dyDescent="0.3">
      <c r="A160">
        <v>4898159524</v>
      </c>
      <c r="B160" t="s">
        <v>411</v>
      </c>
      <c r="C160" t="s">
        <v>0</v>
      </c>
      <c r="D160" s="65">
        <v>46055</v>
      </c>
      <c r="E160" t="s">
        <v>337</v>
      </c>
      <c r="F160" t="s">
        <v>336</v>
      </c>
      <c r="G160" t="s">
        <v>335</v>
      </c>
      <c r="H160" s="66">
        <v>45875.707638888889</v>
      </c>
    </row>
    <row r="161" spans="1:8" x14ac:dyDescent="0.3">
      <c r="A161">
        <v>77799470500</v>
      </c>
      <c r="B161" t="s">
        <v>108</v>
      </c>
      <c r="C161" t="s">
        <v>0</v>
      </c>
      <c r="D161" s="65">
        <v>45989</v>
      </c>
      <c r="E161" t="s">
        <v>337</v>
      </c>
      <c r="F161" t="s">
        <v>351</v>
      </c>
      <c r="G161" t="s">
        <v>335</v>
      </c>
      <c r="H161" s="66">
        <v>45989.555555555555</v>
      </c>
    </row>
    <row r="162" spans="1:8" x14ac:dyDescent="0.3">
      <c r="A162">
        <v>160929539</v>
      </c>
      <c r="B162" t="s">
        <v>410</v>
      </c>
      <c r="C162" t="s">
        <v>0</v>
      </c>
      <c r="D162" s="65">
        <v>46155</v>
      </c>
      <c r="E162" t="s">
        <v>337</v>
      </c>
      <c r="F162" t="s">
        <v>336</v>
      </c>
      <c r="G162" t="s">
        <v>335</v>
      </c>
      <c r="H162" s="66">
        <v>45975.021527777775</v>
      </c>
    </row>
    <row r="163" spans="1:8" x14ac:dyDescent="0.3">
      <c r="A163">
        <v>76942945587</v>
      </c>
      <c r="B163" t="s">
        <v>217</v>
      </c>
      <c r="C163" t="s">
        <v>0</v>
      </c>
      <c r="D163" s="65">
        <v>46254</v>
      </c>
      <c r="E163" t="s">
        <v>337</v>
      </c>
      <c r="F163" t="s">
        <v>336</v>
      </c>
      <c r="G163" t="s">
        <v>335</v>
      </c>
      <c r="H163" s="66">
        <v>46074.000694444447</v>
      </c>
    </row>
    <row r="164" spans="1:8" x14ac:dyDescent="0.3">
      <c r="A164">
        <v>46521208500</v>
      </c>
      <c r="B164" t="s">
        <v>105</v>
      </c>
      <c r="C164" t="s">
        <v>0</v>
      </c>
      <c r="D164" s="65">
        <v>46292</v>
      </c>
      <c r="E164" t="s">
        <v>337</v>
      </c>
      <c r="F164" t="s">
        <v>336</v>
      </c>
      <c r="G164" t="s">
        <v>335</v>
      </c>
      <c r="H164" s="66">
        <v>46112.555555555555</v>
      </c>
    </row>
    <row r="165" spans="1:8" x14ac:dyDescent="0.3">
      <c r="A165">
        <v>1577540573</v>
      </c>
      <c r="B165" s="119" t="s">
        <v>409</v>
      </c>
      <c r="C165" t="s">
        <v>0</v>
      </c>
      <c r="D165" s="65">
        <v>46389</v>
      </c>
      <c r="E165" t="s">
        <v>337</v>
      </c>
      <c r="F165" t="s">
        <v>336</v>
      </c>
      <c r="G165" t="s">
        <v>335</v>
      </c>
      <c r="H165" s="66">
        <v>46209.586805555555</v>
      </c>
    </row>
    <row r="166" spans="1:8" x14ac:dyDescent="0.3">
      <c r="A166">
        <v>4534682506</v>
      </c>
      <c r="B166" t="s">
        <v>225</v>
      </c>
      <c r="C166" t="s">
        <v>0</v>
      </c>
      <c r="D166" s="65">
        <v>46138</v>
      </c>
      <c r="E166" t="s">
        <v>337</v>
      </c>
      <c r="F166" t="s">
        <v>336</v>
      </c>
      <c r="G166" t="s">
        <v>335</v>
      </c>
      <c r="H166" s="66">
        <v>45958.819444444445</v>
      </c>
    </row>
    <row r="167" spans="1:8" x14ac:dyDescent="0.3">
      <c r="A167">
        <v>2745120336</v>
      </c>
      <c r="B167" t="s">
        <v>408</v>
      </c>
      <c r="C167" t="s">
        <v>0</v>
      </c>
      <c r="D167" s="65">
        <v>46155</v>
      </c>
      <c r="E167" t="s">
        <v>337</v>
      </c>
      <c r="F167" t="s">
        <v>336</v>
      </c>
      <c r="G167" t="s">
        <v>335</v>
      </c>
      <c r="H167" s="66">
        <v>45975.018055555556</v>
      </c>
    </row>
    <row r="168" spans="1:8" x14ac:dyDescent="0.3">
      <c r="A168">
        <v>69737754549</v>
      </c>
      <c r="B168" t="s">
        <v>407</v>
      </c>
      <c r="C168" t="s">
        <v>0</v>
      </c>
      <c r="D168" s="65">
        <v>46155</v>
      </c>
      <c r="E168" t="s">
        <v>337</v>
      </c>
      <c r="F168" t="s">
        <v>336</v>
      </c>
      <c r="G168" t="s">
        <v>335</v>
      </c>
      <c r="H168" s="66">
        <v>45975.022222222222</v>
      </c>
    </row>
    <row r="169" spans="1:8" x14ac:dyDescent="0.3">
      <c r="A169">
        <v>8877033568</v>
      </c>
      <c r="B169" t="s">
        <v>406</v>
      </c>
      <c r="C169" t="s">
        <v>0</v>
      </c>
      <c r="D169" s="65">
        <v>46230</v>
      </c>
      <c r="E169" t="s">
        <v>337</v>
      </c>
      <c r="F169" t="s">
        <v>336</v>
      </c>
      <c r="G169" t="s">
        <v>335</v>
      </c>
      <c r="H169" s="66">
        <v>46050.773611111108</v>
      </c>
    </row>
    <row r="170" spans="1:8" x14ac:dyDescent="0.3">
      <c r="A170">
        <v>99286270534</v>
      </c>
      <c r="B170" t="s">
        <v>405</v>
      </c>
      <c r="C170" t="s">
        <v>0</v>
      </c>
      <c r="D170" s="65">
        <v>46160</v>
      </c>
      <c r="E170" t="s">
        <v>337</v>
      </c>
      <c r="F170" t="s">
        <v>336</v>
      </c>
      <c r="G170" t="s">
        <v>335</v>
      </c>
      <c r="H170" s="66">
        <v>45980.487500000003</v>
      </c>
    </row>
    <row r="171" spans="1:8" x14ac:dyDescent="0.3">
      <c r="A171">
        <v>57996075549</v>
      </c>
      <c r="B171" t="s">
        <v>404</v>
      </c>
      <c r="C171" t="s">
        <v>0</v>
      </c>
      <c r="D171" s="65">
        <v>46155</v>
      </c>
      <c r="E171" t="s">
        <v>337</v>
      </c>
      <c r="F171" t="s">
        <v>336</v>
      </c>
      <c r="G171" t="s">
        <v>335</v>
      </c>
      <c r="H171" s="66">
        <v>45975.023611111108</v>
      </c>
    </row>
    <row r="172" spans="1:8" x14ac:dyDescent="0.3">
      <c r="A172">
        <v>81588232549</v>
      </c>
      <c r="B172" t="s">
        <v>892</v>
      </c>
      <c r="C172" t="s">
        <v>0</v>
      </c>
      <c r="D172" s="65">
        <v>46330</v>
      </c>
      <c r="E172" t="s">
        <v>337</v>
      </c>
      <c r="F172" t="s">
        <v>336</v>
      </c>
      <c r="G172" t="s">
        <v>335</v>
      </c>
      <c r="H172" s="66">
        <v>46150.033333333333</v>
      </c>
    </row>
    <row r="173" spans="1:8" x14ac:dyDescent="0.3">
      <c r="A173">
        <v>3229016505</v>
      </c>
      <c r="B173" t="s">
        <v>211</v>
      </c>
      <c r="C173" t="s">
        <v>0</v>
      </c>
      <c r="D173" s="65">
        <v>46047</v>
      </c>
      <c r="E173" t="s">
        <v>337</v>
      </c>
      <c r="F173" t="s">
        <v>336</v>
      </c>
      <c r="G173" t="s">
        <v>335</v>
      </c>
      <c r="H173" s="66">
        <v>45867.736805555556</v>
      </c>
    </row>
    <row r="174" spans="1:8" x14ac:dyDescent="0.3">
      <c r="A174">
        <v>89225465572</v>
      </c>
      <c r="B174" t="s">
        <v>403</v>
      </c>
      <c r="C174" t="s">
        <v>0</v>
      </c>
      <c r="D174" s="65">
        <v>46204</v>
      </c>
      <c r="E174" t="s">
        <v>337</v>
      </c>
      <c r="F174" t="s">
        <v>336</v>
      </c>
      <c r="G174" t="s">
        <v>335</v>
      </c>
      <c r="H174" s="66">
        <v>46024.789583333331</v>
      </c>
    </row>
    <row r="175" spans="1:8" x14ac:dyDescent="0.3">
      <c r="A175">
        <v>4785270551</v>
      </c>
      <c r="B175" t="s">
        <v>402</v>
      </c>
      <c r="C175" t="s">
        <v>0</v>
      </c>
      <c r="D175" s="65">
        <v>46356</v>
      </c>
      <c r="E175" t="s">
        <v>337</v>
      </c>
      <c r="F175" t="s">
        <v>336</v>
      </c>
      <c r="G175" t="s">
        <v>335</v>
      </c>
      <c r="H175" s="66">
        <v>46176.76666666667</v>
      </c>
    </row>
    <row r="176" spans="1:8" x14ac:dyDescent="0.3">
      <c r="A176">
        <v>81401779549</v>
      </c>
      <c r="B176" t="s">
        <v>401</v>
      </c>
      <c r="C176" t="s">
        <v>0</v>
      </c>
      <c r="D176" s="65">
        <v>46111</v>
      </c>
      <c r="E176" t="s">
        <v>337</v>
      </c>
      <c r="F176" t="s">
        <v>336</v>
      </c>
      <c r="G176" t="s">
        <v>335</v>
      </c>
      <c r="H176" s="66">
        <v>45931.775000000001</v>
      </c>
    </row>
    <row r="177" spans="1:8" x14ac:dyDescent="0.3">
      <c r="A177">
        <v>6431120574</v>
      </c>
      <c r="B177" t="s">
        <v>400</v>
      </c>
      <c r="C177" t="s">
        <v>0</v>
      </c>
      <c r="D177" s="65">
        <v>46155</v>
      </c>
      <c r="E177" t="s">
        <v>337</v>
      </c>
      <c r="F177" t="s">
        <v>336</v>
      </c>
      <c r="G177" t="s">
        <v>335</v>
      </c>
      <c r="H177" s="66">
        <v>45975.022222222222</v>
      </c>
    </row>
    <row r="178" spans="1:8" x14ac:dyDescent="0.3">
      <c r="A178">
        <v>5741649521</v>
      </c>
      <c r="B178" t="s">
        <v>399</v>
      </c>
      <c r="C178" t="s">
        <v>0</v>
      </c>
      <c r="D178" s="65">
        <v>46085</v>
      </c>
      <c r="E178" t="s">
        <v>337</v>
      </c>
      <c r="F178" t="s">
        <v>336</v>
      </c>
      <c r="G178" t="s">
        <v>335</v>
      </c>
      <c r="H178" s="66">
        <v>45905.67291666667</v>
      </c>
    </row>
    <row r="179" spans="1:8" x14ac:dyDescent="0.3">
      <c r="A179">
        <v>2202488502</v>
      </c>
      <c r="B179" t="s">
        <v>398</v>
      </c>
      <c r="C179" t="s">
        <v>0</v>
      </c>
      <c r="D179" s="65">
        <v>46389</v>
      </c>
      <c r="E179" t="s">
        <v>337</v>
      </c>
      <c r="F179" t="s">
        <v>336</v>
      </c>
      <c r="G179" t="s">
        <v>335</v>
      </c>
      <c r="H179" s="66">
        <v>46209.588194444441</v>
      </c>
    </row>
    <row r="180" spans="1:8" x14ac:dyDescent="0.3">
      <c r="A180">
        <v>2896848541</v>
      </c>
      <c r="B180" t="s">
        <v>397</v>
      </c>
      <c r="C180" t="s">
        <v>0</v>
      </c>
      <c r="D180" s="65">
        <v>46042</v>
      </c>
      <c r="E180" t="s">
        <v>337</v>
      </c>
      <c r="F180" t="s">
        <v>336</v>
      </c>
      <c r="G180" t="s">
        <v>335</v>
      </c>
      <c r="H180" s="66">
        <v>45862.792361111111</v>
      </c>
    </row>
    <row r="181" spans="1:8" x14ac:dyDescent="0.3">
      <c r="A181">
        <v>98294709549</v>
      </c>
      <c r="B181" t="s">
        <v>396</v>
      </c>
      <c r="C181" t="s">
        <v>0</v>
      </c>
      <c r="D181" s="65">
        <v>46155</v>
      </c>
      <c r="E181" t="s">
        <v>337</v>
      </c>
      <c r="F181" t="s">
        <v>336</v>
      </c>
      <c r="G181" t="s">
        <v>335</v>
      </c>
      <c r="H181" s="66">
        <v>45975.020833333336</v>
      </c>
    </row>
    <row r="182" spans="1:8" x14ac:dyDescent="0.3">
      <c r="A182">
        <v>5057170503</v>
      </c>
      <c r="B182" t="s">
        <v>395</v>
      </c>
      <c r="C182" t="s">
        <v>0</v>
      </c>
      <c r="D182" s="65">
        <v>46340</v>
      </c>
      <c r="E182" t="s">
        <v>337</v>
      </c>
      <c r="F182" t="s">
        <v>336</v>
      </c>
      <c r="G182" t="s">
        <v>335</v>
      </c>
      <c r="H182" s="66">
        <v>46160.56527777778</v>
      </c>
    </row>
    <row r="183" spans="1:8" x14ac:dyDescent="0.3">
      <c r="A183">
        <v>55187625500</v>
      </c>
      <c r="B183" t="s">
        <v>394</v>
      </c>
      <c r="C183" t="s">
        <v>0</v>
      </c>
      <c r="D183" s="65">
        <v>46155</v>
      </c>
      <c r="E183" t="s">
        <v>337</v>
      </c>
      <c r="F183" t="s">
        <v>336</v>
      </c>
      <c r="G183" t="s">
        <v>335</v>
      </c>
      <c r="H183" s="66">
        <v>45975.020138888889</v>
      </c>
    </row>
    <row r="184" spans="1:8" x14ac:dyDescent="0.3">
      <c r="A184">
        <v>17776775568</v>
      </c>
      <c r="B184" t="s">
        <v>393</v>
      </c>
      <c r="C184" t="s">
        <v>0</v>
      </c>
      <c r="D184" s="65">
        <v>46155</v>
      </c>
      <c r="E184" t="s">
        <v>337</v>
      </c>
      <c r="F184" t="s">
        <v>336</v>
      </c>
      <c r="G184" t="s">
        <v>335</v>
      </c>
      <c r="H184" s="66">
        <v>45975.022916666669</v>
      </c>
    </row>
    <row r="185" spans="1:8" x14ac:dyDescent="0.3">
      <c r="A185">
        <v>65067738553</v>
      </c>
      <c r="B185" t="s">
        <v>392</v>
      </c>
      <c r="C185" t="s">
        <v>0</v>
      </c>
      <c r="D185" s="65">
        <v>46123</v>
      </c>
      <c r="E185" t="s">
        <v>337</v>
      </c>
      <c r="F185" t="s">
        <v>336</v>
      </c>
      <c r="G185" t="s">
        <v>335</v>
      </c>
      <c r="H185" s="66">
        <v>45943.476388888892</v>
      </c>
    </row>
    <row r="186" spans="1:8" x14ac:dyDescent="0.3">
      <c r="A186">
        <v>62823442553</v>
      </c>
      <c r="B186" t="s">
        <v>391</v>
      </c>
      <c r="C186" t="s">
        <v>0</v>
      </c>
      <c r="D186" s="65">
        <v>46291</v>
      </c>
      <c r="E186" t="s">
        <v>337</v>
      </c>
      <c r="F186" t="s">
        <v>336</v>
      </c>
      <c r="G186" t="s">
        <v>335</v>
      </c>
      <c r="H186" s="66">
        <v>46111.739583333336</v>
      </c>
    </row>
    <row r="187" spans="1:8" x14ac:dyDescent="0.3">
      <c r="A187">
        <v>3879684588</v>
      </c>
      <c r="B187" t="s">
        <v>119</v>
      </c>
      <c r="C187" t="s">
        <v>0</v>
      </c>
      <c r="D187" s="65">
        <v>46291</v>
      </c>
      <c r="E187" t="s">
        <v>337</v>
      </c>
      <c r="F187" t="s">
        <v>336</v>
      </c>
      <c r="G187" t="s">
        <v>335</v>
      </c>
      <c r="H187" s="66">
        <v>46111.74722222222</v>
      </c>
    </row>
    <row r="188" spans="1:8" x14ac:dyDescent="0.3">
      <c r="A188">
        <v>10541482521</v>
      </c>
      <c r="B188" t="s">
        <v>390</v>
      </c>
      <c r="C188" t="s">
        <v>389</v>
      </c>
      <c r="D188" s="65">
        <v>46155</v>
      </c>
      <c r="E188" t="s">
        <v>337</v>
      </c>
      <c r="F188" t="s">
        <v>336</v>
      </c>
      <c r="G188" t="s">
        <v>335</v>
      </c>
      <c r="H188" s="66">
        <v>45975.018055555556</v>
      </c>
    </row>
    <row r="189" spans="1:8" x14ac:dyDescent="0.3">
      <c r="A189">
        <v>81410646572</v>
      </c>
      <c r="B189" t="s">
        <v>388</v>
      </c>
      <c r="C189" t="s">
        <v>0</v>
      </c>
      <c r="D189" s="65">
        <v>46323</v>
      </c>
      <c r="E189" t="s">
        <v>345</v>
      </c>
      <c r="F189" t="s">
        <v>336</v>
      </c>
      <c r="G189" t="s">
        <v>335</v>
      </c>
      <c r="H189" s="66">
        <v>45958.775000000001</v>
      </c>
    </row>
    <row r="190" spans="1:8" x14ac:dyDescent="0.3">
      <c r="A190">
        <v>7234699546</v>
      </c>
      <c r="B190" t="s">
        <v>387</v>
      </c>
      <c r="C190" t="s">
        <v>0</v>
      </c>
      <c r="D190" s="65">
        <v>45975</v>
      </c>
      <c r="E190" t="s">
        <v>337</v>
      </c>
      <c r="F190" t="s">
        <v>351</v>
      </c>
      <c r="G190" t="s">
        <v>335</v>
      </c>
      <c r="H190" s="66">
        <v>45975.097222222219</v>
      </c>
    </row>
    <row r="191" spans="1:8" x14ac:dyDescent="0.3">
      <c r="A191">
        <v>1300556544</v>
      </c>
      <c r="B191" t="s">
        <v>193</v>
      </c>
      <c r="C191" t="s">
        <v>0</v>
      </c>
      <c r="D191" s="65">
        <v>46291</v>
      </c>
      <c r="E191" t="s">
        <v>337</v>
      </c>
      <c r="F191" t="s">
        <v>336</v>
      </c>
      <c r="G191" t="s">
        <v>335</v>
      </c>
      <c r="H191" s="66">
        <v>46111.747916666667</v>
      </c>
    </row>
    <row r="192" spans="1:8" x14ac:dyDescent="0.3">
      <c r="A192">
        <v>98094483504</v>
      </c>
      <c r="B192" t="s">
        <v>386</v>
      </c>
      <c r="C192" t="s">
        <v>0</v>
      </c>
      <c r="D192" s="65">
        <v>46155</v>
      </c>
      <c r="E192" t="s">
        <v>337</v>
      </c>
      <c r="F192" t="s">
        <v>336</v>
      </c>
      <c r="G192" t="s">
        <v>335</v>
      </c>
      <c r="H192" s="66">
        <v>45975.018055555556</v>
      </c>
    </row>
    <row r="193" spans="1:8" x14ac:dyDescent="0.3">
      <c r="A193">
        <v>85811941501</v>
      </c>
      <c r="B193" t="s">
        <v>231</v>
      </c>
      <c r="C193" t="s">
        <v>0</v>
      </c>
      <c r="D193" s="65">
        <v>46146</v>
      </c>
      <c r="E193" t="s">
        <v>337</v>
      </c>
      <c r="F193" t="s">
        <v>336</v>
      </c>
      <c r="G193" t="s">
        <v>335</v>
      </c>
      <c r="H193" s="66">
        <v>45966.55</v>
      </c>
    </row>
    <row r="194" spans="1:8" x14ac:dyDescent="0.3">
      <c r="A194">
        <v>64766020553</v>
      </c>
      <c r="B194" t="s">
        <v>122</v>
      </c>
      <c r="C194" t="s">
        <v>0</v>
      </c>
      <c r="D194" s="65">
        <v>46138</v>
      </c>
      <c r="E194" t="s">
        <v>337</v>
      </c>
      <c r="F194" t="s">
        <v>336</v>
      </c>
      <c r="G194" t="s">
        <v>335</v>
      </c>
      <c r="H194" s="66">
        <v>45958.770138888889</v>
      </c>
    </row>
    <row r="195" spans="1:8" x14ac:dyDescent="0.3">
      <c r="A195">
        <v>63052016504</v>
      </c>
      <c r="B195" t="s">
        <v>232</v>
      </c>
      <c r="C195" t="s">
        <v>0</v>
      </c>
      <c r="D195" s="65">
        <v>46277</v>
      </c>
      <c r="E195" t="s">
        <v>337</v>
      </c>
      <c r="F195" t="s">
        <v>336</v>
      </c>
      <c r="G195" t="s">
        <v>335</v>
      </c>
      <c r="H195" s="66">
        <v>46097.521527777775</v>
      </c>
    </row>
    <row r="196" spans="1:8" x14ac:dyDescent="0.3">
      <c r="A196">
        <v>849879523</v>
      </c>
      <c r="B196" t="s">
        <v>385</v>
      </c>
      <c r="C196" t="s">
        <v>0</v>
      </c>
      <c r="D196" s="65">
        <v>46057</v>
      </c>
      <c r="E196" t="s">
        <v>337</v>
      </c>
      <c r="F196" t="s">
        <v>336</v>
      </c>
      <c r="G196" t="s">
        <v>335</v>
      </c>
      <c r="H196" s="66">
        <v>45877.744444444441</v>
      </c>
    </row>
    <row r="197" spans="1:8" x14ac:dyDescent="0.3">
      <c r="A197">
        <v>56328036515</v>
      </c>
      <c r="B197" t="s">
        <v>384</v>
      </c>
      <c r="C197" t="s">
        <v>0</v>
      </c>
      <c r="D197" s="65">
        <v>46155</v>
      </c>
      <c r="E197" t="s">
        <v>337</v>
      </c>
      <c r="F197" t="s">
        <v>336</v>
      </c>
      <c r="G197" t="s">
        <v>335</v>
      </c>
      <c r="H197" s="66">
        <v>45975.022916666669</v>
      </c>
    </row>
    <row r="198" spans="1:8" x14ac:dyDescent="0.3">
      <c r="A198">
        <v>54709733520</v>
      </c>
      <c r="B198" t="s">
        <v>124</v>
      </c>
      <c r="C198" t="s">
        <v>0</v>
      </c>
      <c r="D198" s="65">
        <v>46302</v>
      </c>
      <c r="E198" t="s">
        <v>337</v>
      </c>
      <c r="F198" t="s">
        <v>336</v>
      </c>
      <c r="G198" t="s">
        <v>335</v>
      </c>
      <c r="H198" s="66">
        <v>46122.695833333331</v>
      </c>
    </row>
    <row r="199" spans="1:8" x14ac:dyDescent="0.3">
      <c r="A199">
        <v>93864132568</v>
      </c>
      <c r="B199" t="s">
        <v>610</v>
      </c>
      <c r="C199" t="s">
        <v>0</v>
      </c>
      <c r="D199" s="65">
        <v>46246</v>
      </c>
      <c r="E199" t="s">
        <v>337</v>
      </c>
      <c r="F199" t="s">
        <v>336</v>
      </c>
      <c r="G199" t="s">
        <v>335</v>
      </c>
      <c r="H199" s="66">
        <v>46066.070138888892</v>
      </c>
    </row>
    <row r="200" spans="1:8" x14ac:dyDescent="0.3">
      <c r="A200">
        <v>64162320578</v>
      </c>
      <c r="B200" t="s">
        <v>1024</v>
      </c>
      <c r="C200" t="s">
        <v>0</v>
      </c>
      <c r="D200" s="65">
        <v>46341</v>
      </c>
      <c r="E200" t="s">
        <v>337</v>
      </c>
      <c r="F200" t="s">
        <v>336</v>
      </c>
      <c r="G200" t="s">
        <v>335</v>
      </c>
      <c r="H200" s="66">
        <v>46161.724305555559</v>
      </c>
    </row>
    <row r="201" spans="1:8" x14ac:dyDescent="0.3">
      <c r="A201">
        <v>4724572507</v>
      </c>
      <c r="B201" t="s">
        <v>383</v>
      </c>
      <c r="C201" t="s">
        <v>0</v>
      </c>
      <c r="D201" s="65">
        <v>46083</v>
      </c>
      <c r="E201" t="s">
        <v>337</v>
      </c>
      <c r="F201" t="s">
        <v>336</v>
      </c>
      <c r="G201" t="s">
        <v>335</v>
      </c>
      <c r="H201" s="66">
        <v>45903.710416666669</v>
      </c>
    </row>
    <row r="202" spans="1:8" x14ac:dyDescent="0.3">
      <c r="A202">
        <v>56025602972</v>
      </c>
      <c r="B202" t="s">
        <v>894</v>
      </c>
      <c r="C202" t="s">
        <v>0</v>
      </c>
      <c r="D202" s="65">
        <v>46298</v>
      </c>
      <c r="E202" t="s">
        <v>337</v>
      </c>
      <c r="F202" t="s">
        <v>336</v>
      </c>
      <c r="G202" t="s">
        <v>335</v>
      </c>
      <c r="H202" s="66">
        <v>46118.706944444442</v>
      </c>
    </row>
    <row r="203" spans="1:8" x14ac:dyDescent="0.3">
      <c r="A203">
        <v>4543730585</v>
      </c>
      <c r="B203" t="s">
        <v>382</v>
      </c>
      <c r="C203" t="s">
        <v>0</v>
      </c>
      <c r="D203" s="65">
        <v>46181</v>
      </c>
      <c r="E203" t="s">
        <v>337</v>
      </c>
      <c r="F203" t="s">
        <v>336</v>
      </c>
      <c r="G203" t="s">
        <v>335</v>
      </c>
      <c r="H203" s="66">
        <v>46001.099305555559</v>
      </c>
    </row>
    <row r="204" spans="1:8" x14ac:dyDescent="0.3">
      <c r="A204">
        <v>3137623502</v>
      </c>
      <c r="B204" t="s">
        <v>199</v>
      </c>
      <c r="C204" t="s">
        <v>0</v>
      </c>
      <c r="D204" s="65">
        <v>46574</v>
      </c>
      <c r="E204" t="s">
        <v>345</v>
      </c>
      <c r="F204" t="s">
        <v>336</v>
      </c>
      <c r="G204" t="s">
        <v>335</v>
      </c>
      <c r="H204" s="66">
        <v>46209.568055555559</v>
      </c>
    </row>
    <row r="205" spans="1:8" x14ac:dyDescent="0.3">
      <c r="A205">
        <v>1156355567</v>
      </c>
      <c r="B205" t="s">
        <v>381</v>
      </c>
      <c r="C205" t="s">
        <v>0</v>
      </c>
      <c r="D205" s="65">
        <v>46323</v>
      </c>
      <c r="E205" t="s">
        <v>345</v>
      </c>
      <c r="F205" t="s">
        <v>336</v>
      </c>
      <c r="G205" t="s">
        <v>335</v>
      </c>
      <c r="H205" s="66">
        <v>45958.775000000001</v>
      </c>
    </row>
    <row r="206" spans="1:8" x14ac:dyDescent="0.3">
      <c r="A206">
        <v>85948476537</v>
      </c>
      <c r="B206" t="s">
        <v>798</v>
      </c>
      <c r="C206" t="s">
        <v>0</v>
      </c>
      <c r="D206" s="65">
        <v>46540</v>
      </c>
      <c r="E206" t="s">
        <v>345</v>
      </c>
      <c r="F206" t="s">
        <v>336</v>
      </c>
      <c r="G206" t="s">
        <v>335</v>
      </c>
      <c r="H206" s="66">
        <v>46175.048611111109</v>
      </c>
    </row>
    <row r="207" spans="1:8" x14ac:dyDescent="0.3">
      <c r="A207">
        <v>91888140500</v>
      </c>
      <c r="B207" t="s">
        <v>380</v>
      </c>
      <c r="C207" t="s">
        <v>0</v>
      </c>
      <c r="D207" s="65">
        <v>46155</v>
      </c>
      <c r="E207" t="s">
        <v>337</v>
      </c>
      <c r="F207" t="s">
        <v>336</v>
      </c>
      <c r="G207" t="s">
        <v>335</v>
      </c>
      <c r="H207" s="66">
        <v>45975.018055555556</v>
      </c>
    </row>
    <row r="208" spans="1:8" x14ac:dyDescent="0.3">
      <c r="A208">
        <v>85896092512</v>
      </c>
      <c r="B208" t="s">
        <v>379</v>
      </c>
      <c r="C208" t="s">
        <v>0</v>
      </c>
      <c r="D208" s="65">
        <v>46042</v>
      </c>
      <c r="E208" t="s">
        <v>337</v>
      </c>
      <c r="F208" t="s">
        <v>351</v>
      </c>
      <c r="G208" t="s">
        <v>335</v>
      </c>
      <c r="H208" s="66">
        <v>46042.736805555556</v>
      </c>
    </row>
    <row r="209" spans="1:8" x14ac:dyDescent="0.3">
      <c r="A209">
        <v>5533835580</v>
      </c>
      <c r="B209" t="s">
        <v>378</v>
      </c>
      <c r="C209" t="s">
        <v>0</v>
      </c>
      <c r="D209" s="65">
        <v>46019</v>
      </c>
      <c r="E209" t="s">
        <v>337</v>
      </c>
      <c r="F209" t="s">
        <v>336</v>
      </c>
      <c r="G209" t="s">
        <v>335</v>
      </c>
      <c r="H209" s="66">
        <v>45839.6875</v>
      </c>
    </row>
    <row r="210" spans="1:8" x14ac:dyDescent="0.3">
      <c r="A210">
        <v>1106987543</v>
      </c>
      <c r="B210" t="s">
        <v>1028</v>
      </c>
      <c r="C210" t="s">
        <v>0</v>
      </c>
      <c r="D210" s="65">
        <v>46389</v>
      </c>
      <c r="E210" t="s">
        <v>337</v>
      </c>
      <c r="F210" t="s">
        <v>336</v>
      </c>
      <c r="G210" t="s">
        <v>737</v>
      </c>
      <c r="H210" s="66">
        <v>46209.619444444441</v>
      </c>
    </row>
    <row r="211" spans="1:8" x14ac:dyDescent="0.3">
      <c r="A211">
        <v>5217631503</v>
      </c>
      <c r="B211" t="s">
        <v>377</v>
      </c>
      <c r="C211" t="s">
        <v>0</v>
      </c>
      <c r="D211" s="65">
        <v>46113</v>
      </c>
      <c r="E211" t="s">
        <v>337</v>
      </c>
      <c r="F211" t="s">
        <v>336</v>
      </c>
      <c r="G211" t="s">
        <v>335</v>
      </c>
      <c r="H211" s="66">
        <v>45933.870833333334</v>
      </c>
    </row>
    <row r="212" spans="1:8" x14ac:dyDescent="0.3">
      <c r="A212">
        <v>5826435542</v>
      </c>
      <c r="B212" t="s">
        <v>376</v>
      </c>
      <c r="C212" t="s">
        <v>0</v>
      </c>
      <c r="D212" s="65">
        <v>46323</v>
      </c>
      <c r="E212" t="s">
        <v>345</v>
      </c>
      <c r="F212" t="s">
        <v>336</v>
      </c>
      <c r="G212" t="s">
        <v>335</v>
      </c>
      <c r="H212" s="66">
        <v>45958.775000000001</v>
      </c>
    </row>
    <row r="213" spans="1:8" x14ac:dyDescent="0.3">
      <c r="A213">
        <v>415205565</v>
      </c>
      <c r="B213" t="s">
        <v>375</v>
      </c>
      <c r="C213" t="s">
        <v>0</v>
      </c>
      <c r="D213" s="65">
        <v>46155</v>
      </c>
      <c r="E213" t="s">
        <v>337</v>
      </c>
      <c r="F213" t="s">
        <v>336</v>
      </c>
      <c r="G213" t="s">
        <v>335</v>
      </c>
      <c r="H213" s="66">
        <v>45975.018750000003</v>
      </c>
    </row>
    <row r="214" spans="1:8" x14ac:dyDescent="0.3">
      <c r="A214">
        <v>94817154500</v>
      </c>
      <c r="B214" t="s">
        <v>374</v>
      </c>
      <c r="C214" t="s">
        <v>0</v>
      </c>
      <c r="D214" s="65">
        <v>46311</v>
      </c>
      <c r="E214" t="s">
        <v>345</v>
      </c>
      <c r="F214" t="s">
        <v>336</v>
      </c>
      <c r="G214" t="s">
        <v>335</v>
      </c>
      <c r="H214" s="66">
        <v>45946.614583333336</v>
      </c>
    </row>
    <row r="215" spans="1:8" x14ac:dyDescent="0.3">
      <c r="A215">
        <v>83273212500</v>
      </c>
      <c r="B215" t="s">
        <v>373</v>
      </c>
      <c r="C215" t="s">
        <v>0</v>
      </c>
      <c r="D215" s="65">
        <v>46117</v>
      </c>
      <c r="E215" t="s">
        <v>337</v>
      </c>
      <c r="F215" t="s">
        <v>336</v>
      </c>
      <c r="G215" t="s">
        <v>335</v>
      </c>
      <c r="H215" s="66">
        <v>45937.324305555558</v>
      </c>
    </row>
    <row r="216" spans="1:8" x14ac:dyDescent="0.3">
      <c r="A216">
        <v>63887231520</v>
      </c>
      <c r="B216" t="s">
        <v>372</v>
      </c>
      <c r="C216" t="s">
        <v>0</v>
      </c>
      <c r="D216" s="65">
        <v>46125</v>
      </c>
      <c r="E216" t="s">
        <v>337</v>
      </c>
      <c r="F216" t="s">
        <v>336</v>
      </c>
      <c r="G216" t="s">
        <v>335</v>
      </c>
      <c r="H216" s="66">
        <v>45945.842361111114</v>
      </c>
    </row>
    <row r="217" spans="1:8" x14ac:dyDescent="0.3">
      <c r="A217">
        <v>87802686504</v>
      </c>
      <c r="B217" t="s">
        <v>371</v>
      </c>
      <c r="C217" t="s">
        <v>0</v>
      </c>
      <c r="D217" s="65">
        <v>46120</v>
      </c>
      <c r="E217" t="s">
        <v>337</v>
      </c>
      <c r="F217" t="s">
        <v>336</v>
      </c>
      <c r="G217" t="s">
        <v>335</v>
      </c>
      <c r="H217" s="66">
        <v>45940.87222222222</v>
      </c>
    </row>
    <row r="218" spans="1:8" x14ac:dyDescent="0.3">
      <c r="A218">
        <v>1821907574</v>
      </c>
      <c r="B218" t="s">
        <v>370</v>
      </c>
      <c r="C218" t="s">
        <v>0</v>
      </c>
      <c r="D218" s="65">
        <v>46155</v>
      </c>
      <c r="E218" t="s">
        <v>337</v>
      </c>
      <c r="F218" t="s">
        <v>336</v>
      </c>
      <c r="G218" t="s">
        <v>335</v>
      </c>
      <c r="H218" s="66">
        <v>45975.020833333336</v>
      </c>
    </row>
    <row r="219" spans="1:8" x14ac:dyDescent="0.3">
      <c r="A219">
        <v>94772053549</v>
      </c>
      <c r="B219" t="s">
        <v>1026</v>
      </c>
      <c r="C219" t="s">
        <v>0</v>
      </c>
      <c r="D219" s="65">
        <v>46389</v>
      </c>
      <c r="E219" t="s">
        <v>337</v>
      </c>
      <c r="F219" t="s">
        <v>336</v>
      </c>
      <c r="G219" t="s">
        <v>737</v>
      </c>
      <c r="H219" s="66">
        <v>46209.623611111114</v>
      </c>
    </row>
    <row r="220" spans="1:8" x14ac:dyDescent="0.3">
      <c r="A220">
        <v>2065740531</v>
      </c>
      <c r="B220" t="s">
        <v>608</v>
      </c>
      <c r="C220" t="s">
        <v>0</v>
      </c>
      <c r="D220" s="65">
        <v>46252</v>
      </c>
      <c r="E220" t="s">
        <v>337</v>
      </c>
      <c r="F220" t="s">
        <v>336</v>
      </c>
      <c r="G220" t="s">
        <v>335</v>
      </c>
      <c r="H220" s="66">
        <v>46072.767361111109</v>
      </c>
    </row>
    <row r="221" spans="1:8" x14ac:dyDescent="0.3">
      <c r="A221">
        <v>91979587604</v>
      </c>
      <c r="B221" t="s">
        <v>369</v>
      </c>
      <c r="C221" t="s">
        <v>0</v>
      </c>
      <c r="D221" s="65">
        <v>46291</v>
      </c>
      <c r="E221" t="s">
        <v>337</v>
      </c>
      <c r="F221" t="s">
        <v>336</v>
      </c>
      <c r="G221" t="s">
        <v>335</v>
      </c>
      <c r="H221" s="66">
        <v>46111.679166666669</v>
      </c>
    </row>
    <row r="222" spans="1:8" x14ac:dyDescent="0.3">
      <c r="A222">
        <v>94262896587</v>
      </c>
      <c r="B222" t="s">
        <v>368</v>
      </c>
      <c r="C222" t="s">
        <v>0</v>
      </c>
      <c r="D222" s="65">
        <v>46155</v>
      </c>
      <c r="E222" t="s">
        <v>337</v>
      </c>
      <c r="F222" t="s">
        <v>336</v>
      </c>
      <c r="G222" t="s">
        <v>335</v>
      </c>
      <c r="H222" s="66">
        <v>45975.01666666667</v>
      </c>
    </row>
    <row r="223" spans="1:8" x14ac:dyDescent="0.3">
      <c r="A223">
        <v>81323484515</v>
      </c>
      <c r="B223" t="s">
        <v>367</v>
      </c>
      <c r="C223" t="s">
        <v>0</v>
      </c>
      <c r="D223" s="65">
        <v>46285</v>
      </c>
      <c r="E223" t="s">
        <v>337</v>
      </c>
      <c r="F223" t="s">
        <v>336</v>
      </c>
      <c r="G223" t="s">
        <v>335</v>
      </c>
      <c r="H223" s="66">
        <v>46105.497916666667</v>
      </c>
    </row>
    <row r="224" spans="1:8" x14ac:dyDescent="0.3">
      <c r="A224">
        <v>81409966534</v>
      </c>
      <c r="B224" t="s">
        <v>366</v>
      </c>
      <c r="C224" t="s">
        <v>0</v>
      </c>
      <c r="D224" s="65">
        <v>45915</v>
      </c>
      <c r="E224" t="s">
        <v>337</v>
      </c>
      <c r="F224" t="s">
        <v>351</v>
      </c>
      <c r="G224" t="s">
        <v>335</v>
      </c>
      <c r="H224" s="66">
        <v>45915.830555555556</v>
      </c>
    </row>
    <row r="225" spans="1:8" x14ac:dyDescent="0.3">
      <c r="A225">
        <v>81452969515</v>
      </c>
      <c r="B225" t="s">
        <v>365</v>
      </c>
      <c r="C225" t="s">
        <v>0</v>
      </c>
      <c r="D225" s="65">
        <v>46054</v>
      </c>
      <c r="E225" t="s">
        <v>337</v>
      </c>
      <c r="F225" t="s">
        <v>336</v>
      </c>
      <c r="G225" t="s">
        <v>335</v>
      </c>
      <c r="H225" s="66">
        <v>45874.611111111109</v>
      </c>
    </row>
    <row r="226" spans="1:8" x14ac:dyDescent="0.3">
      <c r="A226">
        <v>3660462500</v>
      </c>
      <c r="B226" t="s">
        <v>127</v>
      </c>
      <c r="C226" t="s">
        <v>0</v>
      </c>
      <c r="D226" s="65">
        <v>46300</v>
      </c>
      <c r="E226" t="s">
        <v>337</v>
      </c>
      <c r="F226" t="s">
        <v>336</v>
      </c>
      <c r="G226" t="s">
        <v>335</v>
      </c>
      <c r="H226" s="66">
        <v>46120.762499999997</v>
      </c>
    </row>
    <row r="227" spans="1:8" x14ac:dyDescent="0.3">
      <c r="A227">
        <v>1942683570</v>
      </c>
      <c r="B227" t="s">
        <v>890</v>
      </c>
      <c r="C227" t="s">
        <v>0</v>
      </c>
      <c r="D227" s="65">
        <v>46540</v>
      </c>
      <c r="E227" t="s">
        <v>345</v>
      </c>
      <c r="F227" t="s">
        <v>336</v>
      </c>
      <c r="G227" t="s">
        <v>335</v>
      </c>
      <c r="H227" s="66">
        <v>46175.043749999997</v>
      </c>
    </row>
    <row r="228" spans="1:8" x14ac:dyDescent="0.3">
      <c r="A228">
        <v>3953957554</v>
      </c>
      <c r="B228" t="s">
        <v>364</v>
      </c>
      <c r="C228" t="s">
        <v>0</v>
      </c>
      <c r="D228" s="65">
        <v>46155</v>
      </c>
      <c r="E228" t="s">
        <v>337</v>
      </c>
      <c r="F228" t="s">
        <v>336</v>
      </c>
      <c r="G228" t="s">
        <v>335</v>
      </c>
      <c r="H228" s="66">
        <v>45975.017361111109</v>
      </c>
    </row>
    <row r="229" spans="1:8" x14ac:dyDescent="0.3">
      <c r="A229">
        <v>1464912548</v>
      </c>
      <c r="B229" t="s">
        <v>736</v>
      </c>
      <c r="C229" t="s">
        <v>0</v>
      </c>
      <c r="D229" s="65">
        <v>46264</v>
      </c>
      <c r="E229" t="s">
        <v>337</v>
      </c>
      <c r="F229" t="s">
        <v>336</v>
      </c>
      <c r="G229" t="s">
        <v>335</v>
      </c>
      <c r="H229" s="66">
        <v>46084.568055555559</v>
      </c>
    </row>
    <row r="230" spans="1:8" x14ac:dyDescent="0.3">
      <c r="A230">
        <v>5137389595</v>
      </c>
      <c r="B230" t="s">
        <v>891</v>
      </c>
      <c r="C230" t="s">
        <v>0</v>
      </c>
      <c r="D230" s="65">
        <v>46330</v>
      </c>
      <c r="E230" t="s">
        <v>337</v>
      </c>
      <c r="F230" t="s">
        <v>336</v>
      </c>
      <c r="G230" t="s">
        <v>335</v>
      </c>
      <c r="H230" s="66">
        <v>46150.500694444447</v>
      </c>
    </row>
    <row r="231" spans="1:8" x14ac:dyDescent="0.3">
      <c r="A231">
        <v>51129760553</v>
      </c>
      <c r="B231" t="s">
        <v>363</v>
      </c>
      <c r="C231" t="s">
        <v>0</v>
      </c>
      <c r="D231" s="65">
        <v>46061</v>
      </c>
      <c r="E231" t="s">
        <v>337</v>
      </c>
      <c r="F231" t="s">
        <v>336</v>
      </c>
      <c r="G231" t="s">
        <v>335</v>
      </c>
      <c r="H231" s="66">
        <v>45881.852083333331</v>
      </c>
    </row>
    <row r="232" spans="1:8" x14ac:dyDescent="0.3">
      <c r="A232">
        <v>4710087539</v>
      </c>
      <c r="B232" t="s">
        <v>362</v>
      </c>
      <c r="C232" t="s">
        <v>0</v>
      </c>
      <c r="D232" s="65">
        <v>46155</v>
      </c>
      <c r="E232" t="s">
        <v>337</v>
      </c>
      <c r="F232" t="s">
        <v>336</v>
      </c>
      <c r="G232" t="s">
        <v>335</v>
      </c>
      <c r="H232" s="66">
        <v>45975.023611111108</v>
      </c>
    </row>
    <row r="233" spans="1:8" x14ac:dyDescent="0.3">
      <c r="A233">
        <v>5454148490</v>
      </c>
      <c r="B233" t="s">
        <v>889</v>
      </c>
      <c r="C233" t="s">
        <v>0</v>
      </c>
      <c r="D233" s="65">
        <v>46504</v>
      </c>
      <c r="E233" t="s">
        <v>345</v>
      </c>
      <c r="F233" t="s">
        <v>336</v>
      </c>
      <c r="G233" t="s">
        <v>335</v>
      </c>
      <c r="H233" s="66">
        <v>46139.620138888888</v>
      </c>
    </row>
    <row r="234" spans="1:8" x14ac:dyDescent="0.3">
      <c r="A234">
        <v>74328050591</v>
      </c>
      <c r="B234" t="s">
        <v>219</v>
      </c>
      <c r="C234" t="s">
        <v>0</v>
      </c>
      <c r="D234" s="65">
        <v>46349</v>
      </c>
      <c r="E234" t="s">
        <v>337</v>
      </c>
      <c r="F234" t="s">
        <v>336</v>
      </c>
      <c r="G234" t="s">
        <v>335</v>
      </c>
      <c r="H234" s="66">
        <v>46169.588888888888</v>
      </c>
    </row>
    <row r="235" spans="1:8" x14ac:dyDescent="0.3">
      <c r="A235">
        <v>82617554520</v>
      </c>
      <c r="B235" t="s">
        <v>361</v>
      </c>
      <c r="C235" t="s">
        <v>0</v>
      </c>
      <c r="D235" s="65">
        <v>45589</v>
      </c>
      <c r="E235" t="s">
        <v>337</v>
      </c>
      <c r="F235" t="s">
        <v>351</v>
      </c>
      <c r="G235" t="s">
        <v>335</v>
      </c>
      <c r="H235" s="66">
        <v>45589.67083333333</v>
      </c>
    </row>
    <row r="236" spans="1:8" x14ac:dyDescent="0.3">
      <c r="A236">
        <v>81518250572</v>
      </c>
      <c r="B236" t="s">
        <v>360</v>
      </c>
      <c r="C236" t="s">
        <v>0</v>
      </c>
      <c r="D236" s="65">
        <v>46054</v>
      </c>
      <c r="E236" t="s">
        <v>337</v>
      </c>
      <c r="F236" t="s">
        <v>336</v>
      </c>
      <c r="G236" t="s">
        <v>335</v>
      </c>
      <c r="H236" s="66">
        <v>45874.324305555558</v>
      </c>
    </row>
    <row r="237" spans="1:8" x14ac:dyDescent="0.3">
      <c r="A237">
        <v>68415982534</v>
      </c>
      <c r="B237" t="s">
        <v>728</v>
      </c>
      <c r="C237" t="s">
        <v>0</v>
      </c>
      <c r="D237" s="65">
        <v>46280</v>
      </c>
      <c r="E237" t="s">
        <v>337</v>
      </c>
      <c r="F237" t="s">
        <v>336</v>
      </c>
      <c r="G237" t="s">
        <v>335</v>
      </c>
      <c r="H237" s="66">
        <v>46100.993055555555</v>
      </c>
    </row>
    <row r="238" spans="1:8" x14ac:dyDescent="0.3">
      <c r="A238">
        <v>3375276524</v>
      </c>
      <c r="B238" t="s">
        <v>359</v>
      </c>
      <c r="C238" t="s">
        <v>0</v>
      </c>
      <c r="D238" s="65">
        <v>46155</v>
      </c>
      <c r="E238" t="s">
        <v>337</v>
      </c>
      <c r="F238" t="s">
        <v>336</v>
      </c>
      <c r="G238" t="s">
        <v>335</v>
      </c>
      <c r="H238" s="66">
        <v>45975.019444444442</v>
      </c>
    </row>
    <row r="239" spans="1:8" x14ac:dyDescent="0.3">
      <c r="A239">
        <v>64403351549</v>
      </c>
      <c r="B239" t="s">
        <v>614</v>
      </c>
      <c r="C239" t="s">
        <v>0</v>
      </c>
      <c r="D239" s="65">
        <v>46284</v>
      </c>
      <c r="E239" t="s">
        <v>337</v>
      </c>
      <c r="F239" t="s">
        <v>336</v>
      </c>
      <c r="G239" t="s">
        <v>335</v>
      </c>
      <c r="H239" s="66">
        <v>46104.824305555558</v>
      </c>
    </row>
    <row r="240" spans="1:8" x14ac:dyDescent="0.3">
      <c r="A240">
        <v>97227676587</v>
      </c>
      <c r="B240" t="s">
        <v>358</v>
      </c>
      <c r="C240" t="s">
        <v>0</v>
      </c>
      <c r="D240" s="65">
        <v>46155</v>
      </c>
      <c r="E240" t="s">
        <v>337</v>
      </c>
      <c r="F240" t="s">
        <v>336</v>
      </c>
      <c r="G240" t="s">
        <v>335</v>
      </c>
      <c r="H240" s="66">
        <v>45975.017361111109</v>
      </c>
    </row>
    <row r="241" spans="1:8" x14ac:dyDescent="0.3">
      <c r="A241">
        <v>80557520525</v>
      </c>
      <c r="B241" t="s">
        <v>357</v>
      </c>
      <c r="C241" t="s">
        <v>0</v>
      </c>
      <c r="D241" s="65">
        <v>46155</v>
      </c>
      <c r="E241" t="s">
        <v>337</v>
      </c>
      <c r="F241" t="s">
        <v>336</v>
      </c>
      <c r="G241" t="s">
        <v>335</v>
      </c>
      <c r="H241" s="66">
        <v>45975.015277777777</v>
      </c>
    </row>
    <row r="242" spans="1:8" x14ac:dyDescent="0.3">
      <c r="A242">
        <v>7166638567</v>
      </c>
      <c r="B242" t="s">
        <v>356</v>
      </c>
      <c r="C242" t="s">
        <v>0</v>
      </c>
      <c r="D242" s="65">
        <v>46323</v>
      </c>
      <c r="E242" t="s">
        <v>345</v>
      </c>
      <c r="F242" t="s">
        <v>336</v>
      </c>
      <c r="G242" t="s">
        <v>335</v>
      </c>
      <c r="H242" s="66">
        <v>45958.775694444441</v>
      </c>
    </row>
    <row r="243" spans="1:8" x14ac:dyDescent="0.3">
      <c r="A243">
        <v>18446345587</v>
      </c>
      <c r="B243" t="s">
        <v>158</v>
      </c>
      <c r="C243" t="s">
        <v>0</v>
      </c>
      <c r="D243" s="65">
        <v>46351</v>
      </c>
      <c r="E243" t="s">
        <v>337</v>
      </c>
      <c r="F243" t="s">
        <v>336</v>
      </c>
      <c r="G243" t="s">
        <v>335</v>
      </c>
      <c r="H243" s="66">
        <v>46171.864583333336</v>
      </c>
    </row>
    <row r="244" spans="1:8" x14ac:dyDescent="0.3">
      <c r="A244">
        <v>81045450510</v>
      </c>
      <c r="B244" t="s">
        <v>355</v>
      </c>
      <c r="C244" t="s">
        <v>0</v>
      </c>
      <c r="D244" s="65">
        <v>46155</v>
      </c>
      <c r="E244" t="s">
        <v>337</v>
      </c>
      <c r="F244" t="s">
        <v>336</v>
      </c>
      <c r="G244" t="s">
        <v>335</v>
      </c>
      <c r="H244" s="66">
        <v>45975.022916666669</v>
      </c>
    </row>
    <row r="245" spans="1:8" x14ac:dyDescent="0.3">
      <c r="A245">
        <v>3358788571</v>
      </c>
      <c r="B245" t="s">
        <v>354</v>
      </c>
      <c r="C245" t="s">
        <v>0</v>
      </c>
      <c r="D245" s="65">
        <v>46106</v>
      </c>
      <c r="E245" t="s">
        <v>337</v>
      </c>
      <c r="F245" t="s">
        <v>336</v>
      </c>
      <c r="G245" t="s">
        <v>335</v>
      </c>
      <c r="H245" s="66">
        <v>45926.8</v>
      </c>
    </row>
    <row r="246" spans="1:8" x14ac:dyDescent="0.3">
      <c r="A246">
        <v>5233102501</v>
      </c>
      <c r="B246" t="s">
        <v>353</v>
      </c>
      <c r="C246" t="s">
        <v>0</v>
      </c>
      <c r="D246" s="65">
        <v>46574</v>
      </c>
      <c r="E246" t="s">
        <v>345</v>
      </c>
      <c r="F246" t="s">
        <v>336</v>
      </c>
      <c r="G246" t="s">
        <v>335</v>
      </c>
      <c r="H246" s="66">
        <v>46209.70208333333</v>
      </c>
    </row>
    <row r="247" spans="1:8" x14ac:dyDescent="0.3">
      <c r="A247">
        <v>8448194500</v>
      </c>
      <c r="B247" t="s">
        <v>352</v>
      </c>
      <c r="C247" t="s">
        <v>0</v>
      </c>
      <c r="D247" s="65">
        <v>45912</v>
      </c>
      <c r="E247" t="s">
        <v>337</v>
      </c>
      <c r="F247" t="s">
        <v>351</v>
      </c>
      <c r="G247" t="s">
        <v>335</v>
      </c>
      <c r="H247" s="66">
        <v>45912.46875</v>
      </c>
    </row>
    <row r="248" spans="1:8" x14ac:dyDescent="0.3">
      <c r="A248">
        <v>1232640573</v>
      </c>
      <c r="B248" t="s">
        <v>350</v>
      </c>
      <c r="C248" t="s">
        <v>0</v>
      </c>
      <c r="D248" s="65">
        <v>46291</v>
      </c>
      <c r="E248" t="s">
        <v>337</v>
      </c>
      <c r="F248" t="s">
        <v>336</v>
      </c>
      <c r="G248" t="s">
        <v>335</v>
      </c>
      <c r="H248" s="66">
        <v>46111.787499999999</v>
      </c>
    </row>
    <row r="249" spans="1:8" x14ac:dyDescent="0.3">
      <c r="A249">
        <v>5162763527</v>
      </c>
      <c r="B249" t="s">
        <v>730</v>
      </c>
      <c r="C249" t="s">
        <v>0</v>
      </c>
      <c r="D249" s="65">
        <v>46271</v>
      </c>
      <c r="E249" t="s">
        <v>337</v>
      </c>
      <c r="F249" t="s">
        <v>336</v>
      </c>
      <c r="G249" t="s">
        <v>335</v>
      </c>
      <c r="H249" s="66">
        <v>46091.774305555555</v>
      </c>
    </row>
    <row r="250" spans="1:8" x14ac:dyDescent="0.3">
      <c r="A250">
        <v>83289119572</v>
      </c>
      <c r="B250" t="s">
        <v>349</v>
      </c>
      <c r="C250" t="s">
        <v>0</v>
      </c>
      <c r="D250" s="65">
        <v>46303</v>
      </c>
      <c r="E250" t="s">
        <v>337</v>
      </c>
      <c r="F250" t="s">
        <v>336</v>
      </c>
      <c r="G250" t="s">
        <v>335</v>
      </c>
      <c r="H250" s="66">
        <v>46123.537499999999</v>
      </c>
    </row>
    <row r="251" spans="1:8" x14ac:dyDescent="0.3">
      <c r="A251">
        <v>95945997587</v>
      </c>
      <c r="B251" t="s">
        <v>348</v>
      </c>
      <c r="C251" t="s">
        <v>0</v>
      </c>
      <c r="D251" s="65">
        <v>46155</v>
      </c>
      <c r="E251" t="s">
        <v>337</v>
      </c>
      <c r="F251" t="s">
        <v>336</v>
      </c>
      <c r="G251" t="s">
        <v>335</v>
      </c>
      <c r="H251" s="66">
        <v>45975.019444444442</v>
      </c>
    </row>
    <row r="252" spans="1:8" x14ac:dyDescent="0.3">
      <c r="A252">
        <v>2709173573</v>
      </c>
      <c r="B252" t="s">
        <v>347</v>
      </c>
      <c r="C252" t="s">
        <v>0</v>
      </c>
      <c r="D252" s="65">
        <v>46323</v>
      </c>
      <c r="E252" t="s">
        <v>345</v>
      </c>
      <c r="F252" t="s">
        <v>336</v>
      </c>
      <c r="G252" t="s">
        <v>335</v>
      </c>
      <c r="H252" s="66">
        <v>45958.775694444441</v>
      </c>
    </row>
    <row r="253" spans="1:8" x14ac:dyDescent="0.3">
      <c r="A253">
        <v>85998120507</v>
      </c>
      <c r="B253" t="s">
        <v>346</v>
      </c>
      <c r="C253" t="s">
        <v>0</v>
      </c>
      <c r="D253" s="65">
        <v>46288</v>
      </c>
      <c r="E253" t="s">
        <v>345</v>
      </c>
      <c r="F253" t="s">
        <v>336</v>
      </c>
      <c r="G253" t="s">
        <v>335</v>
      </c>
      <c r="H253" s="66">
        <v>45923.490277777775</v>
      </c>
    </row>
    <row r="254" spans="1:8" x14ac:dyDescent="0.3">
      <c r="A254">
        <v>86196002570</v>
      </c>
      <c r="B254" t="s">
        <v>344</v>
      </c>
      <c r="C254" t="s">
        <v>0</v>
      </c>
      <c r="D254" s="65">
        <v>46155</v>
      </c>
      <c r="E254" t="s">
        <v>337</v>
      </c>
      <c r="F254" t="s">
        <v>336</v>
      </c>
      <c r="G254" t="s">
        <v>335</v>
      </c>
      <c r="H254" s="66">
        <v>45975.017361111109</v>
      </c>
    </row>
    <row r="255" spans="1:8" x14ac:dyDescent="0.3">
      <c r="A255">
        <v>951570501</v>
      </c>
      <c r="B255" t="s">
        <v>343</v>
      </c>
      <c r="C255" t="s">
        <v>0</v>
      </c>
      <c r="D255" s="65">
        <v>46092</v>
      </c>
      <c r="E255" t="s">
        <v>337</v>
      </c>
      <c r="F255" t="s">
        <v>336</v>
      </c>
      <c r="G255" t="s">
        <v>335</v>
      </c>
      <c r="H255" s="66">
        <v>45912.433333333334</v>
      </c>
    </row>
    <row r="256" spans="1:8" x14ac:dyDescent="0.3">
      <c r="A256">
        <v>3569414507</v>
      </c>
      <c r="B256" t="s">
        <v>342</v>
      </c>
      <c r="C256" t="s">
        <v>0</v>
      </c>
      <c r="D256" s="65">
        <v>46166</v>
      </c>
      <c r="E256" t="s">
        <v>337</v>
      </c>
      <c r="F256" t="s">
        <v>336</v>
      </c>
      <c r="G256" t="s">
        <v>335</v>
      </c>
      <c r="H256" s="66">
        <v>45986.242361111108</v>
      </c>
    </row>
    <row r="257" spans="1:8" x14ac:dyDescent="0.3">
      <c r="A257">
        <v>94039640578</v>
      </c>
      <c r="B257" t="s">
        <v>341</v>
      </c>
      <c r="C257" t="s">
        <v>0</v>
      </c>
      <c r="D257" s="65">
        <v>46027</v>
      </c>
      <c r="E257" t="s">
        <v>337</v>
      </c>
      <c r="F257" t="s">
        <v>336</v>
      </c>
      <c r="G257" t="s">
        <v>335</v>
      </c>
      <c r="H257" s="66">
        <v>45847.732638888891</v>
      </c>
    </row>
    <row r="258" spans="1:8" x14ac:dyDescent="0.3">
      <c r="A258">
        <v>87096544534</v>
      </c>
      <c r="B258" t="s">
        <v>340</v>
      </c>
      <c r="C258" t="s">
        <v>0</v>
      </c>
      <c r="D258" s="65">
        <v>46155</v>
      </c>
      <c r="E258" t="s">
        <v>337</v>
      </c>
      <c r="F258" t="s">
        <v>336</v>
      </c>
      <c r="G258" t="s">
        <v>335</v>
      </c>
      <c r="H258" s="66">
        <v>45975.022916666669</v>
      </c>
    </row>
    <row r="259" spans="1:8" x14ac:dyDescent="0.3">
      <c r="A259">
        <v>1241326509</v>
      </c>
      <c r="B259" t="s">
        <v>305</v>
      </c>
      <c r="C259" t="s">
        <v>0</v>
      </c>
      <c r="D259" s="65">
        <v>46159</v>
      </c>
      <c r="E259" t="s">
        <v>337</v>
      </c>
      <c r="F259" t="s">
        <v>336</v>
      </c>
      <c r="G259" t="s">
        <v>335</v>
      </c>
      <c r="H259" s="66">
        <v>45979.255555555559</v>
      </c>
    </row>
    <row r="260" spans="1:8" x14ac:dyDescent="0.3">
      <c r="A260">
        <v>86391278598</v>
      </c>
      <c r="B260" t="s">
        <v>611</v>
      </c>
      <c r="C260" t="s">
        <v>0</v>
      </c>
      <c r="D260" s="65">
        <v>46246</v>
      </c>
      <c r="E260" t="s">
        <v>337</v>
      </c>
      <c r="F260" t="s">
        <v>336</v>
      </c>
      <c r="G260" t="s">
        <v>335</v>
      </c>
      <c r="H260" s="66">
        <v>46066.013194444444</v>
      </c>
    </row>
    <row r="261" spans="1:8" x14ac:dyDescent="0.3">
      <c r="A261">
        <v>2963456522</v>
      </c>
      <c r="B261" t="s">
        <v>339</v>
      </c>
      <c r="C261" t="s">
        <v>0</v>
      </c>
      <c r="D261" s="65">
        <v>46155</v>
      </c>
      <c r="E261" t="s">
        <v>337</v>
      </c>
      <c r="F261" t="s">
        <v>336</v>
      </c>
      <c r="G261" t="s">
        <v>335</v>
      </c>
      <c r="H261" s="66">
        <v>45975.019444444442</v>
      </c>
    </row>
    <row r="262" spans="1:8" x14ac:dyDescent="0.3">
      <c r="A262">
        <v>2539075517</v>
      </c>
      <c r="B262" t="s">
        <v>338</v>
      </c>
      <c r="C262" t="s">
        <v>0</v>
      </c>
      <c r="D262" s="65">
        <v>46155</v>
      </c>
      <c r="E262" t="s">
        <v>337</v>
      </c>
      <c r="F262" t="s">
        <v>336</v>
      </c>
      <c r="G262" t="s">
        <v>335</v>
      </c>
      <c r="H262" s="66">
        <v>45975.018055555556</v>
      </c>
    </row>
    <row r="263" spans="1:8" x14ac:dyDescent="0.3">
      <c r="A263">
        <v>10608251550</v>
      </c>
      <c r="B263" t="s">
        <v>186</v>
      </c>
      <c r="C263" t="s">
        <v>0</v>
      </c>
      <c r="D263" s="65">
        <v>46021</v>
      </c>
      <c r="E263" t="s">
        <v>337</v>
      </c>
      <c r="F263" t="s">
        <v>336</v>
      </c>
      <c r="G263" t="s">
        <v>335</v>
      </c>
      <c r="H263" s="66">
        <v>45841.724999999999</v>
      </c>
    </row>
  </sheetData>
  <autoFilter ref="A1:I263" xr:uid="{FE55B8CE-1330-4490-B7B5-43F634DD9B18}"/>
  <sortState xmlns:xlrd2="http://schemas.microsoft.com/office/spreadsheetml/2017/richdata2" ref="A2:H263">
    <sortCondition ref="B1:B263"/>
  </sortState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7F5C-A689-4AFE-A83F-E18FA6AB0402}">
  <dimension ref="A1:R77"/>
  <sheetViews>
    <sheetView workbookViewId="0">
      <selection activeCell="A13" sqref="A13"/>
    </sheetView>
  </sheetViews>
  <sheetFormatPr defaultRowHeight="14.4" x14ac:dyDescent="0.3"/>
  <cols>
    <col min="1" max="1" width="7.77734375" customWidth="1"/>
    <col min="2" max="2" width="8.44140625" customWidth="1"/>
    <col min="5" max="5" width="13.77734375" bestFit="1" customWidth="1"/>
    <col min="6" max="6" width="15.6640625" customWidth="1"/>
    <col min="8" max="8" width="9" customWidth="1"/>
    <col min="13" max="13" width="4.44140625" customWidth="1"/>
    <col min="15" max="15" width="7.6640625" customWidth="1"/>
    <col min="16" max="16" width="18.6640625" customWidth="1"/>
  </cols>
  <sheetData>
    <row r="1" spans="1:18" ht="14.4" customHeight="1" x14ac:dyDescent="0.3">
      <c r="A1" s="356" t="s">
        <v>1054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8"/>
      <c r="Q1" s="365"/>
      <c r="R1" s="341"/>
    </row>
    <row r="2" spans="1:18" ht="14.4" customHeight="1" x14ac:dyDescent="0.3">
      <c r="A2" s="359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1"/>
      <c r="Q2" s="365"/>
      <c r="R2" s="341"/>
    </row>
    <row r="3" spans="1:18" ht="14.4" customHeight="1" x14ac:dyDescent="0.3">
      <c r="A3" s="359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1"/>
      <c r="Q3" s="365"/>
      <c r="R3" s="341"/>
    </row>
    <row r="4" spans="1:18" ht="14.4" customHeight="1" x14ac:dyDescent="0.3">
      <c r="A4" s="362"/>
      <c r="B4" s="363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4"/>
      <c r="Q4" s="365"/>
      <c r="R4" s="341"/>
    </row>
    <row r="5" spans="1:18" ht="21.6" thickBot="1" x14ac:dyDescent="0.35">
      <c r="A5" s="342"/>
      <c r="B5" s="343"/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4"/>
      <c r="N5" s="345" t="s">
        <v>1055</v>
      </c>
      <c r="O5" s="346"/>
      <c r="P5" s="347"/>
      <c r="Q5" s="131"/>
      <c r="R5" s="131"/>
    </row>
    <row r="6" spans="1:18" x14ac:dyDescent="0.3">
      <c r="A6" s="348"/>
      <c r="B6" s="349"/>
      <c r="C6" s="349"/>
      <c r="D6" s="349"/>
      <c r="E6" s="349"/>
      <c r="F6" s="349"/>
      <c r="G6" s="349"/>
      <c r="H6" s="349"/>
      <c r="I6" s="349"/>
      <c r="J6" s="350"/>
      <c r="K6" s="132"/>
      <c r="L6" s="132"/>
      <c r="M6" s="132"/>
      <c r="N6" s="132"/>
      <c r="O6" s="132"/>
      <c r="P6" s="133"/>
      <c r="Q6" s="131"/>
      <c r="R6" s="131"/>
    </row>
    <row r="7" spans="1:18" x14ac:dyDescent="0.3">
      <c r="A7" s="351" t="s">
        <v>1056</v>
      </c>
      <c r="B7" s="352"/>
      <c r="C7" s="352"/>
      <c r="D7" s="353"/>
      <c r="E7" s="354" t="s">
        <v>1057</v>
      </c>
      <c r="F7" s="352"/>
      <c r="G7" s="352"/>
      <c r="H7" s="353"/>
      <c r="I7" s="146" t="s">
        <v>1058</v>
      </c>
      <c r="J7" s="146"/>
      <c r="K7" s="160" t="s">
        <v>1059</v>
      </c>
      <c r="L7" s="146" t="s">
        <v>11</v>
      </c>
      <c r="M7" s="354" t="s">
        <v>1060</v>
      </c>
      <c r="N7" s="352"/>
      <c r="O7" s="352"/>
      <c r="P7" s="355"/>
      <c r="Q7" s="131"/>
      <c r="R7" s="131"/>
    </row>
    <row r="8" spans="1:18" ht="15" thickBot="1" x14ac:dyDescent="0.35">
      <c r="A8" s="331"/>
      <c r="B8" s="332"/>
      <c r="C8" s="332"/>
      <c r="D8" s="333"/>
      <c r="E8" s="329"/>
      <c r="F8" s="334"/>
      <c r="G8" s="334"/>
      <c r="H8" s="335"/>
      <c r="I8" s="339" t="s">
        <v>1152</v>
      </c>
      <c r="J8" s="340"/>
      <c r="K8" s="161"/>
      <c r="L8" s="147">
        <v>78</v>
      </c>
      <c r="M8" s="336" t="s">
        <v>1061</v>
      </c>
      <c r="N8" s="337"/>
      <c r="O8" s="337"/>
      <c r="P8" s="338"/>
      <c r="Q8" s="131"/>
      <c r="R8" s="131"/>
    </row>
    <row r="9" spans="1:18" ht="15" thickBot="1" x14ac:dyDescent="0.35">
      <c r="A9" s="316" t="s">
        <v>1062</v>
      </c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  <c r="P9" s="318"/>
      <c r="Q9" s="131"/>
      <c r="R9" s="131"/>
    </row>
    <row r="10" spans="1:18" x14ac:dyDescent="0.3">
      <c r="A10" s="319" t="s">
        <v>1063</v>
      </c>
      <c r="B10" s="320"/>
      <c r="C10" s="320"/>
      <c r="D10" s="320"/>
      <c r="E10" s="320"/>
      <c r="F10" s="321"/>
      <c r="G10" s="322" t="s">
        <v>29</v>
      </c>
      <c r="H10" s="320"/>
      <c r="I10" s="320"/>
      <c r="J10" s="320"/>
      <c r="K10" s="321"/>
      <c r="L10" s="322" t="s">
        <v>1064</v>
      </c>
      <c r="M10" s="320"/>
      <c r="N10" s="320"/>
      <c r="O10" s="320"/>
      <c r="P10" s="323"/>
      <c r="Q10" s="131"/>
      <c r="R10" s="131"/>
    </row>
    <row r="11" spans="1:18" x14ac:dyDescent="0.3">
      <c r="A11" s="148" t="str">
        <f>IFERROR(UPPER(VLOOKUP(L8,base!A:I,2,0)),"")</f>
        <v>RONILTON DOS SANTOS</v>
      </c>
      <c r="B11" s="149"/>
      <c r="C11" s="149"/>
      <c r="D11" s="149"/>
      <c r="E11" s="149"/>
      <c r="F11" s="150"/>
      <c r="G11" s="151" t="str">
        <f>IFERROR(UPPER(VLOOKUP(L8,base!A:I,3,0)),"")</f>
        <v>743.280.505-91</v>
      </c>
      <c r="H11" s="149"/>
      <c r="I11" s="149"/>
      <c r="J11" s="149"/>
      <c r="K11" s="150"/>
      <c r="L11" s="151" t="str">
        <f>IFERROR(UPPER(VLOOKUP(L8,base!A:I,6,0)),"")</f>
        <v>71 99716-2851</v>
      </c>
      <c r="M11" s="149"/>
      <c r="N11" s="149"/>
      <c r="O11" s="149"/>
      <c r="P11" s="152"/>
      <c r="Q11" s="131"/>
      <c r="R11" s="131"/>
    </row>
    <row r="12" spans="1:18" x14ac:dyDescent="0.3">
      <c r="A12" s="302" t="s">
        <v>1065</v>
      </c>
      <c r="B12" s="303"/>
      <c r="C12" s="304"/>
      <c r="D12" s="305" t="s">
        <v>1066</v>
      </c>
      <c r="E12" s="303"/>
      <c r="F12" s="304"/>
      <c r="G12" s="305" t="s">
        <v>1067</v>
      </c>
      <c r="H12" s="303"/>
      <c r="I12" s="304"/>
      <c r="J12" s="305" t="s">
        <v>1068</v>
      </c>
      <c r="K12" s="303"/>
      <c r="L12" s="304"/>
      <c r="M12" s="305" t="s">
        <v>1069</v>
      </c>
      <c r="N12" s="304"/>
      <c r="O12" s="305" t="s">
        <v>1070</v>
      </c>
      <c r="P12" s="306"/>
      <c r="Q12" s="131"/>
      <c r="R12" s="131"/>
    </row>
    <row r="13" spans="1:18" ht="15" thickBot="1" x14ac:dyDescent="0.35">
      <c r="A13" s="153" t="str">
        <f>IFERROR(UPPER(VLOOKUP(L8,base!A:I,4,0)),"")</f>
        <v>LVB6J83</v>
      </c>
      <c r="B13" s="154"/>
      <c r="C13" s="155"/>
      <c r="D13" s="156"/>
      <c r="E13" s="154"/>
      <c r="F13" s="155"/>
      <c r="G13" s="162" t="str">
        <f>IFERROR(UPPER(VLOOKUP(L8,base!A:I,7,0)),"")</f>
        <v>TOCO</v>
      </c>
      <c r="H13" s="163"/>
      <c r="I13" s="157"/>
      <c r="J13" s="156" t="str">
        <f>IFERROR(UPPER(VLOOKUP(L8,base!A:I,9,0)),"")</f>
        <v>46M³</v>
      </c>
      <c r="K13" s="154"/>
      <c r="L13" s="155"/>
      <c r="M13" s="310"/>
      <c r="N13" s="309"/>
      <c r="O13" s="329" t="s">
        <v>144</v>
      </c>
      <c r="P13" s="330"/>
      <c r="Q13" s="131"/>
      <c r="R13" s="131"/>
    </row>
    <row r="14" spans="1:18" ht="15" thickBot="1" x14ac:dyDescent="0.35">
      <c r="A14" s="316" t="s">
        <v>1071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8"/>
      <c r="Q14" s="131"/>
      <c r="R14" s="131"/>
    </row>
    <row r="15" spans="1:18" x14ac:dyDescent="0.3">
      <c r="A15" s="319" t="s">
        <v>1072</v>
      </c>
      <c r="B15" s="320"/>
      <c r="C15" s="320"/>
      <c r="D15" s="321"/>
      <c r="E15" s="322" t="s">
        <v>1073</v>
      </c>
      <c r="F15" s="320"/>
      <c r="G15" s="320"/>
      <c r="H15" s="321"/>
      <c r="I15" s="322" t="s">
        <v>835</v>
      </c>
      <c r="J15" s="321"/>
      <c r="K15" s="322" t="s">
        <v>1074</v>
      </c>
      <c r="L15" s="321"/>
      <c r="M15" s="322" t="s">
        <v>1075</v>
      </c>
      <c r="N15" s="321"/>
      <c r="O15" s="322" t="s">
        <v>1076</v>
      </c>
      <c r="P15" s="323"/>
      <c r="Q15" s="131"/>
      <c r="R15" s="131"/>
    </row>
    <row r="16" spans="1:18" x14ac:dyDescent="0.3">
      <c r="A16" s="324"/>
      <c r="B16" s="325"/>
      <c r="C16" s="325"/>
      <c r="D16" s="326"/>
      <c r="E16" s="327"/>
      <c r="F16" s="325"/>
      <c r="G16" s="325"/>
      <c r="H16" s="326"/>
      <c r="I16" s="314"/>
      <c r="J16" s="328"/>
      <c r="K16" s="327"/>
      <c r="L16" s="326"/>
      <c r="M16" s="314"/>
      <c r="N16" s="328"/>
      <c r="O16" s="314"/>
      <c r="P16" s="315"/>
      <c r="Q16" s="131"/>
      <c r="R16" s="131"/>
    </row>
    <row r="17" spans="1:18" x14ac:dyDescent="0.3">
      <c r="A17" s="302" t="s">
        <v>1077</v>
      </c>
      <c r="B17" s="303"/>
      <c r="C17" s="303"/>
      <c r="D17" s="304"/>
      <c r="E17" s="305" t="s">
        <v>1078</v>
      </c>
      <c r="F17" s="303"/>
      <c r="G17" s="303"/>
      <c r="H17" s="304"/>
      <c r="I17" s="305" t="s">
        <v>1079</v>
      </c>
      <c r="J17" s="303"/>
      <c r="K17" s="303"/>
      <c r="L17" s="303"/>
      <c r="M17" s="303"/>
      <c r="N17" s="303"/>
      <c r="O17" s="303"/>
      <c r="P17" s="306"/>
      <c r="Q17" s="131"/>
      <c r="R17" s="131"/>
    </row>
    <row r="18" spans="1:18" ht="15" thickBot="1" x14ac:dyDescent="0.35">
      <c r="A18" s="307"/>
      <c r="B18" s="308"/>
      <c r="C18" s="308"/>
      <c r="D18" s="309"/>
      <c r="E18" s="310"/>
      <c r="F18" s="308"/>
      <c r="G18" s="308"/>
      <c r="H18" s="309"/>
      <c r="I18" s="311" t="s">
        <v>1080</v>
      </c>
      <c r="J18" s="312"/>
      <c r="K18" s="312"/>
      <c r="L18" s="312"/>
      <c r="M18" s="312"/>
      <c r="N18" s="312"/>
      <c r="O18" s="312"/>
      <c r="P18" s="313"/>
      <c r="Q18" s="131"/>
      <c r="R18" s="131"/>
    </row>
    <row r="19" spans="1:18" ht="15" thickBot="1" x14ac:dyDescent="0.35">
      <c r="A19" s="295" t="s">
        <v>1081</v>
      </c>
      <c r="B19" s="296"/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7"/>
      <c r="Q19" s="131"/>
      <c r="R19" s="131"/>
    </row>
    <row r="20" spans="1:18" x14ac:dyDescent="0.3">
      <c r="A20" s="134" t="s">
        <v>1082</v>
      </c>
      <c r="B20" s="298" t="s">
        <v>1083</v>
      </c>
      <c r="C20" s="299"/>
      <c r="D20" s="299"/>
      <c r="E20" s="300"/>
      <c r="F20" s="158" t="s">
        <v>1082</v>
      </c>
      <c r="G20" s="298" t="s">
        <v>1084</v>
      </c>
      <c r="H20" s="299"/>
      <c r="I20" s="299"/>
      <c r="J20" s="300"/>
      <c r="K20" s="158" t="s">
        <v>1082</v>
      </c>
      <c r="L20" s="298" t="s">
        <v>1085</v>
      </c>
      <c r="M20" s="299"/>
      <c r="N20" s="299"/>
      <c r="O20" s="299"/>
      <c r="P20" s="301"/>
      <c r="Q20" s="131"/>
      <c r="R20" s="131"/>
    </row>
    <row r="21" spans="1:18" x14ac:dyDescent="0.3">
      <c r="A21" s="134" t="s">
        <v>1082</v>
      </c>
      <c r="B21" s="277" t="s">
        <v>1086</v>
      </c>
      <c r="C21" s="278"/>
      <c r="D21" s="278"/>
      <c r="E21" s="279"/>
      <c r="F21" s="158" t="s">
        <v>1082</v>
      </c>
      <c r="G21" s="277" t="s">
        <v>1087</v>
      </c>
      <c r="H21" s="278"/>
      <c r="I21" s="278"/>
      <c r="J21" s="279"/>
      <c r="K21" s="158" t="s">
        <v>1082</v>
      </c>
      <c r="L21" s="277" t="s">
        <v>1088</v>
      </c>
      <c r="M21" s="278"/>
      <c r="N21" s="278"/>
      <c r="O21" s="278"/>
      <c r="P21" s="280"/>
      <c r="Q21" s="131"/>
      <c r="R21" s="131"/>
    </row>
    <row r="22" spans="1:18" x14ac:dyDescent="0.3">
      <c r="A22" s="134" t="s">
        <v>1082</v>
      </c>
      <c r="B22" s="277" t="s">
        <v>1089</v>
      </c>
      <c r="C22" s="278"/>
      <c r="D22" s="278"/>
      <c r="E22" s="279"/>
      <c r="F22" s="158" t="s">
        <v>1082</v>
      </c>
      <c r="G22" s="277" t="s">
        <v>1090</v>
      </c>
      <c r="H22" s="278"/>
      <c r="I22" s="278"/>
      <c r="J22" s="279"/>
      <c r="K22" s="158" t="s">
        <v>1082</v>
      </c>
      <c r="L22" s="277" t="s">
        <v>1091</v>
      </c>
      <c r="M22" s="278"/>
      <c r="N22" s="278"/>
      <c r="O22" s="278"/>
      <c r="P22" s="280"/>
      <c r="Q22" s="131"/>
      <c r="R22" s="131"/>
    </row>
    <row r="23" spans="1:18" ht="15" thickBot="1" x14ac:dyDescent="0.35">
      <c r="A23" s="281" t="s">
        <v>1092</v>
      </c>
      <c r="B23" s="282"/>
      <c r="C23" s="282"/>
      <c r="D23" s="282"/>
      <c r="E23" s="283"/>
      <c r="F23" s="284"/>
      <c r="G23" s="285"/>
      <c r="H23" s="285"/>
      <c r="I23" s="285"/>
      <c r="J23" s="286"/>
      <c r="K23" s="287"/>
      <c r="L23" s="288"/>
      <c r="M23" s="288"/>
      <c r="N23" s="288"/>
      <c r="O23" s="288"/>
      <c r="P23" s="289"/>
      <c r="Q23" s="131"/>
      <c r="R23" s="131"/>
    </row>
    <row r="24" spans="1:18" ht="15" thickBot="1" x14ac:dyDescent="0.35">
      <c r="A24" s="210" t="s">
        <v>1119</v>
      </c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2"/>
      <c r="Q24" s="131"/>
      <c r="R24" s="131"/>
    </row>
    <row r="25" spans="1:18" x14ac:dyDescent="0.3">
      <c r="A25" s="290" t="s">
        <v>1093</v>
      </c>
      <c r="B25" s="291"/>
      <c r="C25" s="291"/>
      <c r="D25" s="292"/>
      <c r="E25" s="159" t="s">
        <v>1094</v>
      </c>
      <c r="F25" s="291" t="s">
        <v>1095</v>
      </c>
      <c r="G25" s="291"/>
      <c r="H25" s="292"/>
      <c r="I25" s="293" t="s">
        <v>1096</v>
      </c>
      <c r="J25" s="291"/>
      <c r="K25" s="291"/>
      <c r="L25" s="292"/>
      <c r="M25" s="293" t="s">
        <v>1097</v>
      </c>
      <c r="N25" s="291"/>
      <c r="O25" s="291"/>
      <c r="P25" s="294"/>
      <c r="Q25" s="131"/>
      <c r="R25" s="131"/>
    </row>
    <row r="26" spans="1:18" ht="18.600000000000001" thickBot="1" x14ac:dyDescent="0.35">
      <c r="A26" s="266">
        <f>COUNTA(H30:H59)</f>
        <v>3</v>
      </c>
      <c r="B26" s="267"/>
      <c r="C26" s="267"/>
      <c r="D26" s="268"/>
      <c r="E26" s="136">
        <f>SUM(N30:N59)</f>
        <v>1332</v>
      </c>
      <c r="F26" s="269">
        <f>SUM(J30:J59)</f>
        <v>5232.7179999999998</v>
      </c>
      <c r="G26" s="270"/>
      <c r="H26" s="271"/>
      <c r="I26" s="272">
        <f>SUM(L30:M59)</f>
        <v>22.644500000000001</v>
      </c>
      <c r="J26" s="273"/>
      <c r="K26" s="273"/>
      <c r="L26" s="274"/>
      <c r="M26" s="275">
        <f>SUM(K30:K59)</f>
        <v>6471.2250000000004</v>
      </c>
      <c r="N26" s="267"/>
      <c r="O26" s="267"/>
      <c r="P26" s="276"/>
      <c r="Q26" s="131"/>
      <c r="R26" s="131"/>
    </row>
    <row r="27" spans="1:18" ht="15" thickBot="1" x14ac:dyDescent="0.35">
      <c r="A27" s="210" t="s">
        <v>1098</v>
      </c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2"/>
      <c r="Q27" s="131"/>
      <c r="R27" s="131"/>
    </row>
    <row r="28" spans="1:18" x14ac:dyDescent="0.3">
      <c r="A28" s="250" t="s">
        <v>1099</v>
      </c>
      <c r="B28" s="137" t="s">
        <v>572</v>
      </c>
      <c r="C28" s="252" t="s">
        <v>1101</v>
      </c>
      <c r="D28" s="253"/>
      <c r="E28" s="254"/>
      <c r="F28" s="252" t="s">
        <v>969</v>
      </c>
      <c r="G28" s="254"/>
      <c r="H28" s="258" t="s">
        <v>1102</v>
      </c>
      <c r="I28" s="258" t="s">
        <v>1103</v>
      </c>
      <c r="J28" s="137" t="s">
        <v>1104</v>
      </c>
      <c r="K28" s="137" t="s">
        <v>1104</v>
      </c>
      <c r="L28" s="262" t="s">
        <v>1116</v>
      </c>
      <c r="M28" s="263"/>
      <c r="N28" s="258" t="s">
        <v>234</v>
      </c>
      <c r="O28" s="258" t="s">
        <v>1105</v>
      </c>
      <c r="P28" s="260" t="s">
        <v>1106</v>
      </c>
      <c r="Q28" s="248"/>
      <c r="R28" s="249"/>
    </row>
    <row r="29" spans="1:18" x14ac:dyDescent="0.3">
      <c r="A29" s="251"/>
      <c r="B29" s="138" t="s">
        <v>1100</v>
      </c>
      <c r="C29" s="255"/>
      <c r="D29" s="256"/>
      <c r="E29" s="257"/>
      <c r="F29" s="255"/>
      <c r="G29" s="257"/>
      <c r="H29" s="259"/>
      <c r="I29" s="259"/>
      <c r="J29" s="138" t="s">
        <v>1117</v>
      </c>
      <c r="K29" s="138" t="s">
        <v>1118</v>
      </c>
      <c r="L29" s="264"/>
      <c r="M29" s="265"/>
      <c r="N29" s="259"/>
      <c r="O29" s="259"/>
      <c r="P29" s="261"/>
      <c r="Q29" s="248"/>
      <c r="R29" s="249"/>
    </row>
    <row r="30" spans="1:18" x14ac:dyDescent="0.3">
      <c r="A30" s="139">
        <v>1</v>
      </c>
      <c r="B30" s="140" t="s">
        <v>1159</v>
      </c>
      <c r="C30" s="142" t="s">
        <v>1161</v>
      </c>
      <c r="D30" s="143"/>
      <c r="E30" s="144"/>
      <c r="F30" s="142" t="s">
        <v>1163</v>
      </c>
      <c r="G30" s="144"/>
      <c r="H30" s="141" t="s">
        <v>1157</v>
      </c>
      <c r="I30" s="145"/>
      <c r="J30" s="140">
        <v>372.11799999999999</v>
      </c>
      <c r="K30" s="140">
        <v>1610.625</v>
      </c>
      <c r="L30" s="142">
        <v>6.4424999999999999</v>
      </c>
      <c r="M30" s="144"/>
      <c r="N30" s="140">
        <v>242</v>
      </c>
      <c r="O30" s="140"/>
      <c r="P30" s="164"/>
      <c r="Q30" s="131"/>
      <c r="R30" s="131"/>
    </row>
    <row r="31" spans="1:18" x14ac:dyDescent="0.3">
      <c r="A31" s="139">
        <v>2</v>
      </c>
      <c r="B31" s="140" t="s">
        <v>1160</v>
      </c>
      <c r="C31" s="366" t="s">
        <v>1162</v>
      </c>
      <c r="D31" s="367"/>
      <c r="E31" s="368"/>
      <c r="F31" s="366" t="s">
        <v>1164</v>
      </c>
      <c r="G31" s="368"/>
      <c r="H31" s="141" t="s">
        <v>1158</v>
      </c>
      <c r="I31" s="145">
        <v>46248</v>
      </c>
      <c r="J31" s="140">
        <v>3758.1</v>
      </c>
      <c r="K31" s="140">
        <v>3758.1</v>
      </c>
      <c r="L31" s="366">
        <v>12.526999999999999</v>
      </c>
      <c r="M31" s="368"/>
      <c r="N31" s="140">
        <v>985</v>
      </c>
      <c r="O31" s="140">
        <v>7</v>
      </c>
      <c r="P31" s="164"/>
      <c r="Q31" s="131"/>
      <c r="R31" s="131"/>
    </row>
    <row r="32" spans="1:18" x14ac:dyDescent="0.3">
      <c r="A32" s="139">
        <v>3</v>
      </c>
      <c r="B32" s="140" t="s">
        <v>1160</v>
      </c>
      <c r="C32" s="366" t="s">
        <v>1162</v>
      </c>
      <c r="D32" s="367"/>
      <c r="E32" s="368"/>
      <c r="F32" s="366" t="s">
        <v>1164</v>
      </c>
      <c r="G32" s="368"/>
      <c r="H32" s="141">
        <v>12667</v>
      </c>
      <c r="I32" s="145">
        <v>46248</v>
      </c>
      <c r="J32" s="140">
        <v>1102.5</v>
      </c>
      <c r="K32" s="140">
        <v>1102.5</v>
      </c>
      <c r="L32" s="366">
        <v>3.6749999999999998</v>
      </c>
      <c r="M32" s="368"/>
      <c r="N32" s="140">
        <v>105</v>
      </c>
      <c r="O32" s="140">
        <v>2</v>
      </c>
      <c r="P32" s="164"/>
      <c r="Q32" s="131"/>
      <c r="R32" s="131"/>
    </row>
    <row r="33" spans="1:18" x14ac:dyDescent="0.3">
      <c r="A33" s="139">
        <v>4</v>
      </c>
      <c r="B33" s="140"/>
      <c r="C33" s="366"/>
      <c r="D33" s="367"/>
      <c r="E33" s="368"/>
      <c r="F33" s="366"/>
      <c r="G33" s="368"/>
      <c r="H33" s="141"/>
      <c r="I33" s="145"/>
      <c r="J33" s="140"/>
      <c r="K33" s="140"/>
      <c r="L33" s="366"/>
      <c r="M33" s="368"/>
      <c r="N33" s="140"/>
      <c r="O33" s="140"/>
      <c r="P33" s="164"/>
      <c r="Q33" s="131"/>
      <c r="R33" s="131"/>
    </row>
    <row r="34" spans="1:18" x14ac:dyDescent="0.3">
      <c r="A34" s="139">
        <v>5</v>
      </c>
      <c r="B34" s="140"/>
      <c r="C34" s="366"/>
      <c r="D34" s="367"/>
      <c r="E34" s="368"/>
      <c r="F34" s="366"/>
      <c r="G34" s="368"/>
      <c r="H34" s="141"/>
      <c r="I34" s="145"/>
      <c r="J34" s="140"/>
      <c r="K34" s="140"/>
      <c r="L34" s="366"/>
      <c r="M34" s="368"/>
      <c r="N34" s="140"/>
      <c r="O34" s="140"/>
      <c r="P34" s="164"/>
      <c r="Q34" s="131"/>
      <c r="R34" s="131"/>
    </row>
    <row r="35" spans="1:18" x14ac:dyDescent="0.3">
      <c r="A35" s="139">
        <v>6</v>
      </c>
      <c r="B35" s="140"/>
      <c r="C35" s="366"/>
      <c r="D35" s="367"/>
      <c r="E35" s="368"/>
      <c r="F35" s="366"/>
      <c r="G35" s="368"/>
      <c r="H35" s="141"/>
      <c r="I35" s="145"/>
      <c r="J35" s="140"/>
      <c r="K35" s="140"/>
      <c r="L35" s="366"/>
      <c r="M35" s="368"/>
      <c r="N35" s="140"/>
      <c r="O35" s="140"/>
      <c r="P35" s="164"/>
      <c r="Q35" s="131"/>
      <c r="R35" s="131"/>
    </row>
    <row r="36" spans="1:18" x14ac:dyDescent="0.3">
      <c r="A36" s="139">
        <v>7</v>
      </c>
      <c r="B36" s="140"/>
      <c r="C36" s="366"/>
      <c r="D36" s="367"/>
      <c r="E36" s="368"/>
      <c r="F36" s="366"/>
      <c r="G36" s="368"/>
      <c r="H36" s="141"/>
      <c r="I36" s="145"/>
      <c r="J36" s="140"/>
      <c r="K36" s="140"/>
      <c r="L36" s="366"/>
      <c r="M36" s="368"/>
      <c r="N36" s="140"/>
      <c r="O36" s="140"/>
      <c r="P36" s="164"/>
      <c r="Q36" s="131"/>
      <c r="R36" s="131"/>
    </row>
    <row r="37" spans="1:18" x14ac:dyDescent="0.3">
      <c r="A37" s="139">
        <v>8</v>
      </c>
      <c r="B37" s="140"/>
      <c r="C37" s="366"/>
      <c r="D37" s="367"/>
      <c r="E37" s="368"/>
      <c r="F37" s="366"/>
      <c r="G37" s="368"/>
      <c r="H37" s="141"/>
      <c r="I37" s="145"/>
      <c r="J37" s="140"/>
      <c r="K37" s="140"/>
      <c r="L37" s="366"/>
      <c r="M37" s="368"/>
      <c r="N37" s="140"/>
      <c r="O37" s="140"/>
      <c r="P37" s="164"/>
      <c r="Q37" s="131"/>
      <c r="R37" s="131"/>
    </row>
    <row r="38" spans="1:18" x14ac:dyDescent="0.3">
      <c r="A38" s="139">
        <v>9</v>
      </c>
      <c r="B38" s="140"/>
      <c r="C38" s="366"/>
      <c r="D38" s="367"/>
      <c r="E38" s="368"/>
      <c r="F38" s="366"/>
      <c r="G38" s="368"/>
      <c r="H38" s="141"/>
      <c r="I38" s="145"/>
      <c r="J38" s="140"/>
      <c r="K38" s="140"/>
      <c r="L38" s="366"/>
      <c r="M38" s="368"/>
      <c r="N38" s="140"/>
      <c r="O38" s="140"/>
      <c r="P38" s="164"/>
      <c r="Q38" s="131"/>
      <c r="R38" s="131"/>
    </row>
    <row r="39" spans="1:18" x14ac:dyDescent="0.3">
      <c r="A39" s="139">
        <v>10</v>
      </c>
      <c r="B39" s="140"/>
      <c r="C39" s="366"/>
      <c r="D39" s="367"/>
      <c r="E39" s="368"/>
      <c r="F39" s="366"/>
      <c r="G39" s="368"/>
      <c r="H39" s="141"/>
      <c r="I39" s="145"/>
      <c r="J39" s="140"/>
      <c r="K39" s="140"/>
      <c r="L39" s="366"/>
      <c r="M39" s="368"/>
      <c r="N39" s="140"/>
      <c r="O39" s="140"/>
      <c r="P39" s="164"/>
      <c r="Q39" s="131"/>
      <c r="R39" s="131"/>
    </row>
    <row r="40" spans="1:18" x14ac:dyDescent="0.3">
      <c r="A40" s="139">
        <v>11</v>
      </c>
      <c r="B40" s="140"/>
      <c r="C40" s="366"/>
      <c r="D40" s="367"/>
      <c r="E40" s="368"/>
      <c r="F40" s="366"/>
      <c r="G40" s="368"/>
      <c r="H40" s="141"/>
      <c r="I40" s="145"/>
      <c r="J40" s="140"/>
      <c r="K40" s="140"/>
      <c r="L40" s="366"/>
      <c r="M40" s="368"/>
      <c r="N40" s="140"/>
      <c r="O40" s="140"/>
      <c r="P40" s="164"/>
      <c r="Q40" s="131"/>
      <c r="R40" s="131"/>
    </row>
    <row r="41" spans="1:18" x14ac:dyDescent="0.3">
      <c r="A41" s="139">
        <v>12</v>
      </c>
      <c r="B41" s="140"/>
      <c r="C41" s="366"/>
      <c r="D41" s="367"/>
      <c r="E41" s="368"/>
      <c r="F41" s="366"/>
      <c r="G41" s="368"/>
      <c r="H41" s="141"/>
      <c r="I41" s="145"/>
      <c r="J41" s="140"/>
      <c r="K41" s="140"/>
      <c r="L41" s="366"/>
      <c r="M41" s="368"/>
      <c r="N41" s="140"/>
      <c r="O41" s="140"/>
      <c r="P41" s="164"/>
      <c r="Q41" s="131"/>
      <c r="R41" s="131"/>
    </row>
    <row r="42" spans="1:18" x14ac:dyDescent="0.3">
      <c r="A42" s="139">
        <v>13</v>
      </c>
      <c r="B42" s="140"/>
      <c r="C42" s="366"/>
      <c r="D42" s="367"/>
      <c r="E42" s="368"/>
      <c r="F42" s="366"/>
      <c r="G42" s="368"/>
      <c r="H42" s="141"/>
      <c r="I42" s="145"/>
      <c r="J42" s="140"/>
      <c r="K42" s="140"/>
      <c r="L42" s="366"/>
      <c r="M42" s="368"/>
      <c r="N42" s="140"/>
      <c r="O42" s="140"/>
      <c r="P42" s="164"/>
      <c r="Q42" s="131"/>
      <c r="R42" s="131"/>
    </row>
    <row r="43" spans="1:18" x14ac:dyDescent="0.3">
      <c r="A43" s="139">
        <v>14</v>
      </c>
      <c r="B43" s="140"/>
      <c r="C43" s="366"/>
      <c r="D43" s="367"/>
      <c r="E43" s="368"/>
      <c r="F43" s="366"/>
      <c r="G43" s="368"/>
      <c r="H43" s="141"/>
      <c r="I43" s="145"/>
      <c r="J43" s="140"/>
      <c r="K43" s="140"/>
      <c r="L43" s="366"/>
      <c r="M43" s="368"/>
      <c r="N43" s="140"/>
      <c r="O43" s="140"/>
      <c r="P43" s="164"/>
      <c r="Q43" s="131"/>
      <c r="R43" s="131"/>
    </row>
    <row r="44" spans="1:18" x14ac:dyDescent="0.3">
      <c r="A44" s="139">
        <v>15</v>
      </c>
      <c r="B44" s="140"/>
      <c r="C44" s="366"/>
      <c r="D44" s="367"/>
      <c r="E44" s="368"/>
      <c r="F44" s="366"/>
      <c r="G44" s="368"/>
      <c r="H44" s="141"/>
      <c r="I44" s="145"/>
      <c r="J44" s="140"/>
      <c r="K44" s="140"/>
      <c r="L44" s="366"/>
      <c r="M44" s="368"/>
      <c r="N44" s="140"/>
      <c r="O44" s="140"/>
      <c r="P44" s="164"/>
      <c r="Q44" s="131"/>
      <c r="R44" s="131"/>
    </row>
    <row r="45" spans="1:18" x14ac:dyDescent="0.3">
      <c r="A45" s="139">
        <v>16</v>
      </c>
      <c r="B45" s="140"/>
      <c r="C45" s="366"/>
      <c r="D45" s="367"/>
      <c r="E45" s="368"/>
      <c r="F45" s="366"/>
      <c r="G45" s="368"/>
      <c r="H45" s="141"/>
      <c r="I45" s="145"/>
      <c r="J45" s="140"/>
      <c r="K45" s="140"/>
      <c r="L45" s="366"/>
      <c r="M45" s="368"/>
      <c r="N45" s="140"/>
      <c r="O45" s="140"/>
      <c r="P45" s="164"/>
      <c r="Q45" s="131"/>
      <c r="R45" s="131"/>
    </row>
    <row r="46" spans="1:18" x14ac:dyDescent="0.3">
      <c r="A46" s="139">
        <v>17</v>
      </c>
      <c r="B46" s="140"/>
      <c r="C46" s="366"/>
      <c r="D46" s="367"/>
      <c r="E46" s="368"/>
      <c r="F46" s="366"/>
      <c r="G46" s="368"/>
      <c r="H46" s="141"/>
      <c r="I46" s="145"/>
      <c r="J46" s="140"/>
      <c r="K46" s="140"/>
      <c r="L46" s="366"/>
      <c r="M46" s="368"/>
      <c r="N46" s="140"/>
      <c r="O46" s="140"/>
      <c r="P46" s="164"/>
      <c r="Q46" s="131"/>
      <c r="R46" s="131"/>
    </row>
    <row r="47" spans="1:18" x14ac:dyDescent="0.3">
      <c r="A47" s="139">
        <v>18</v>
      </c>
      <c r="B47" s="140"/>
      <c r="C47" s="366"/>
      <c r="D47" s="367"/>
      <c r="E47" s="368"/>
      <c r="F47" s="366"/>
      <c r="G47" s="368"/>
      <c r="H47" s="141"/>
      <c r="I47" s="145"/>
      <c r="J47" s="140"/>
      <c r="K47" s="140"/>
      <c r="L47" s="366"/>
      <c r="M47" s="368"/>
      <c r="N47" s="140"/>
      <c r="O47" s="140"/>
      <c r="P47" s="164"/>
      <c r="Q47" s="131"/>
      <c r="R47" s="131"/>
    </row>
    <row r="48" spans="1:18" x14ac:dyDescent="0.3">
      <c r="A48" s="139">
        <v>19</v>
      </c>
      <c r="B48" s="140"/>
      <c r="C48" s="366"/>
      <c r="D48" s="367"/>
      <c r="E48" s="368"/>
      <c r="F48" s="366"/>
      <c r="G48" s="368"/>
      <c r="H48" s="141"/>
      <c r="I48" s="145"/>
      <c r="J48" s="140"/>
      <c r="K48" s="140"/>
      <c r="L48" s="366"/>
      <c r="M48" s="368"/>
      <c r="N48" s="140"/>
      <c r="O48" s="140"/>
      <c r="P48" s="164"/>
      <c r="Q48" s="131"/>
      <c r="R48" s="131"/>
    </row>
    <row r="49" spans="1:18" x14ac:dyDescent="0.3">
      <c r="A49" s="139">
        <v>20</v>
      </c>
      <c r="B49" s="140"/>
      <c r="C49" s="366"/>
      <c r="D49" s="367"/>
      <c r="E49" s="368"/>
      <c r="F49" s="366"/>
      <c r="G49" s="368"/>
      <c r="H49" s="141"/>
      <c r="I49" s="145"/>
      <c r="J49" s="140"/>
      <c r="K49" s="140"/>
      <c r="L49" s="366"/>
      <c r="M49" s="368"/>
      <c r="N49" s="140"/>
      <c r="O49" s="140"/>
      <c r="P49" s="164"/>
      <c r="Q49" s="131"/>
      <c r="R49" s="131"/>
    </row>
    <row r="50" spans="1:18" x14ac:dyDescent="0.3">
      <c r="A50" s="139">
        <v>21</v>
      </c>
      <c r="B50" s="140"/>
      <c r="C50" s="366"/>
      <c r="D50" s="367"/>
      <c r="E50" s="368"/>
      <c r="F50" s="366"/>
      <c r="G50" s="368"/>
      <c r="H50" s="141"/>
      <c r="I50" s="145"/>
      <c r="J50" s="140"/>
      <c r="K50" s="140"/>
      <c r="L50" s="366"/>
      <c r="M50" s="368"/>
      <c r="N50" s="140"/>
      <c r="O50" s="140"/>
      <c r="P50" s="164"/>
      <c r="Q50" s="131"/>
      <c r="R50" s="131"/>
    </row>
    <row r="51" spans="1:18" x14ac:dyDescent="0.3">
      <c r="A51" s="139">
        <v>22</v>
      </c>
      <c r="B51" s="140"/>
      <c r="C51" s="366"/>
      <c r="D51" s="367"/>
      <c r="E51" s="368"/>
      <c r="F51" s="366"/>
      <c r="G51" s="368"/>
      <c r="H51" s="141"/>
      <c r="I51" s="145"/>
      <c r="J51" s="140"/>
      <c r="K51" s="140"/>
      <c r="L51" s="366"/>
      <c r="M51" s="368"/>
      <c r="N51" s="140"/>
      <c r="O51" s="140"/>
      <c r="P51" s="164"/>
      <c r="Q51" s="131"/>
      <c r="R51" s="131"/>
    </row>
    <row r="52" spans="1:18" x14ac:dyDescent="0.3">
      <c r="A52" s="139">
        <v>23</v>
      </c>
      <c r="B52" s="140"/>
      <c r="C52" s="366"/>
      <c r="D52" s="367"/>
      <c r="E52" s="368"/>
      <c r="F52" s="366"/>
      <c r="G52" s="368"/>
      <c r="H52" s="141"/>
      <c r="I52" s="145"/>
      <c r="J52" s="140"/>
      <c r="K52" s="140"/>
      <c r="L52" s="366"/>
      <c r="M52" s="368"/>
      <c r="N52" s="140"/>
      <c r="O52" s="140"/>
      <c r="P52" s="164"/>
      <c r="Q52" s="131"/>
      <c r="R52" s="131"/>
    </row>
    <row r="53" spans="1:18" x14ac:dyDescent="0.3">
      <c r="A53" s="139">
        <v>24</v>
      </c>
      <c r="B53" s="140"/>
      <c r="C53" s="366"/>
      <c r="D53" s="367"/>
      <c r="E53" s="368"/>
      <c r="F53" s="366"/>
      <c r="G53" s="368"/>
      <c r="H53" s="141"/>
      <c r="I53" s="145"/>
      <c r="J53" s="140"/>
      <c r="K53" s="140"/>
      <c r="L53" s="366"/>
      <c r="M53" s="368"/>
      <c r="N53" s="140"/>
      <c r="O53" s="140"/>
      <c r="P53" s="164"/>
      <c r="Q53" s="131"/>
      <c r="R53" s="131"/>
    </row>
    <row r="54" spans="1:18" x14ac:dyDescent="0.3">
      <c r="A54" s="139">
        <v>25</v>
      </c>
      <c r="B54" s="140"/>
      <c r="C54" s="366"/>
      <c r="D54" s="367"/>
      <c r="E54" s="368"/>
      <c r="F54" s="366"/>
      <c r="G54" s="368"/>
      <c r="H54" s="141"/>
      <c r="I54" s="145"/>
      <c r="J54" s="140"/>
      <c r="K54" s="140"/>
      <c r="L54" s="366"/>
      <c r="M54" s="368"/>
      <c r="N54" s="140"/>
      <c r="O54" s="140"/>
      <c r="P54" s="164"/>
      <c r="Q54" s="131"/>
      <c r="R54" s="131"/>
    </row>
    <row r="55" spans="1:18" x14ac:dyDescent="0.3">
      <c r="A55" s="139">
        <v>26</v>
      </c>
      <c r="B55" s="140"/>
      <c r="C55" s="366"/>
      <c r="D55" s="367"/>
      <c r="E55" s="368"/>
      <c r="F55" s="366"/>
      <c r="G55" s="368"/>
      <c r="H55" s="141"/>
      <c r="I55" s="145"/>
      <c r="J55" s="140"/>
      <c r="K55" s="140"/>
      <c r="L55" s="366"/>
      <c r="M55" s="368"/>
      <c r="N55" s="140"/>
      <c r="O55" s="140"/>
      <c r="P55" s="164"/>
      <c r="Q55" s="131"/>
      <c r="R55" s="131"/>
    </row>
    <row r="56" spans="1:18" x14ac:dyDescent="0.3">
      <c r="A56" s="139">
        <v>27</v>
      </c>
      <c r="B56" s="140"/>
      <c r="C56" s="366"/>
      <c r="D56" s="367"/>
      <c r="E56" s="368"/>
      <c r="F56" s="366"/>
      <c r="G56" s="368"/>
      <c r="H56" s="141"/>
      <c r="I56" s="145"/>
      <c r="J56" s="140"/>
      <c r="K56" s="140"/>
      <c r="L56" s="366"/>
      <c r="M56" s="368"/>
      <c r="N56" s="140"/>
      <c r="O56" s="140"/>
      <c r="P56" s="164"/>
      <c r="Q56" s="131"/>
      <c r="R56" s="131"/>
    </row>
    <row r="57" spans="1:18" x14ac:dyDescent="0.3">
      <c r="A57" s="139">
        <v>28</v>
      </c>
      <c r="B57" s="140"/>
      <c r="C57" s="366"/>
      <c r="D57" s="367"/>
      <c r="E57" s="368"/>
      <c r="F57" s="366"/>
      <c r="G57" s="368"/>
      <c r="H57" s="141"/>
      <c r="I57" s="145"/>
      <c r="J57" s="140"/>
      <c r="K57" s="140"/>
      <c r="L57" s="366"/>
      <c r="M57" s="368"/>
      <c r="N57" s="140"/>
      <c r="O57" s="140"/>
      <c r="P57" s="164"/>
      <c r="Q57" s="131"/>
      <c r="R57" s="131"/>
    </row>
    <row r="58" spans="1:18" x14ac:dyDescent="0.3">
      <c r="A58" s="139">
        <v>29</v>
      </c>
      <c r="B58" s="140"/>
      <c r="C58" s="366"/>
      <c r="D58" s="367"/>
      <c r="E58" s="368"/>
      <c r="F58" s="366"/>
      <c r="G58" s="368"/>
      <c r="H58" s="141"/>
      <c r="I58" s="145"/>
      <c r="J58" s="140"/>
      <c r="K58" s="140"/>
      <c r="L58" s="366"/>
      <c r="M58" s="368"/>
      <c r="N58" s="140"/>
      <c r="O58" s="140"/>
      <c r="P58" s="164"/>
      <c r="Q58" s="131"/>
      <c r="R58" s="131"/>
    </row>
    <row r="59" spans="1:18" ht="15" thickBot="1" x14ac:dyDescent="0.35">
      <c r="A59" s="139">
        <v>30</v>
      </c>
      <c r="B59" s="140"/>
      <c r="C59" s="366"/>
      <c r="D59" s="367"/>
      <c r="E59" s="368"/>
      <c r="F59" s="366"/>
      <c r="G59" s="368"/>
      <c r="H59" s="141"/>
      <c r="I59" s="145"/>
      <c r="J59" s="140"/>
      <c r="K59" s="140"/>
      <c r="L59" s="366"/>
      <c r="M59" s="368"/>
      <c r="N59" s="140"/>
      <c r="O59" s="140"/>
      <c r="P59" s="164"/>
      <c r="Q59" s="131"/>
      <c r="R59" s="131"/>
    </row>
    <row r="60" spans="1:18" ht="15" thickBot="1" x14ac:dyDescent="0.35">
      <c r="A60" s="210" t="s">
        <v>1107</v>
      </c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2"/>
      <c r="Q60" s="131"/>
      <c r="R60" s="131"/>
    </row>
    <row r="61" spans="1:18" ht="15" thickBot="1" x14ac:dyDescent="0.35">
      <c r="A61" s="210" t="s">
        <v>1108</v>
      </c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2"/>
      <c r="Q61" s="131"/>
      <c r="R61" s="131"/>
    </row>
    <row r="62" spans="1:18" ht="15" thickBot="1" x14ac:dyDescent="0.35">
      <c r="A62" s="210" t="s">
        <v>1109</v>
      </c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2"/>
      <c r="Q62" s="131"/>
      <c r="R62" s="131"/>
    </row>
    <row r="63" spans="1:18" ht="15" thickBot="1" x14ac:dyDescent="0.35">
      <c r="A63" s="218" t="s">
        <v>1110</v>
      </c>
      <c r="B63" s="219"/>
      <c r="C63" s="219"/>
      <c r="D63" s="219"/>
      <c r="E63" s="219"/>
      <c r="F63" s="219"/>
      <c r="G63" s="219"/>
      <c r="H63" s="219"/>
      <c r="I63" s="220"/>
      <c r="J63" s="221">
        <v>0</v>
      </c>
      <c r="K63" s="222"/>
      <c r="L63" s="135">
        <v>0</v>
      </c>
      <c r="M63" s="135">
        <v>0</v>
      </c>
      <c r="N63" s="135">
        <v>0</v>
      </c>
      <c r="O63" s="223"/>
      <c r="P63" s="224"/>
      <c r="Q63" s="131"/>
      <c r="R63" s="131"/>
    </row>
    <row r="64" spans="1:18" ht="15" thickBot="1" x14ac:dyDescent="0.35">
      <c r="A64" s="210" t="s">
        <v>1111</v>
      </c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2"/>
      <c r="Q64" s="131"/>
      <c r="R64" s="131"/>
    </row>
    <row r="65" spans="1:18" x14ac:dyDescent="0.3">
      <c r="A65" s="225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7"/>
      <c r="Q65" s="131"/>
      <c r="R65" s="131"/>
    </row>
    <row r="66" spans="1:18" x14ac:dyDescent="0.3">
      <c r="A66" s="228"/>
      <c r="B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30"/>
      <c r="Q66" s="131"/>
      <c r="R66" s="131"/>
    </row>
    <row r="67" spans="1:18" x14ac:dyDescent="0.3">
      <c r="A67" s="228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131"/>
      <c r="R67" s="131"/>
    </row>
    <row r="68" spans="1:18" x14ac:dyDescent="0.3">
      <c r="A68" s="228"/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30"/>
      <c r="Q68" s="131"/>
      <c r="R68" s="131"/>
    </row>
    <row r="69" spans="1:18" ht="15" thickBot="1" x14ac:dyDescent="0.35">
      <c r="A69" s="231"/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3"/>
      <c r="Q69" s="131"/>
      <c r="R69" s="131"/>
    </row>
    <row r="70" spans="1:18" ht="15" thickBot="1" x14ac:dyDescent="0.35">
      <c r="A70" s="210" t="s">
        <v>1112</v>
      </c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2"/>
      <c r="Q70" s="131"/>
      <c r="R70" s="131"/>
    </row>
    <row r="71" spans="1:18" ht="15" thickBot="1" x14ac:dyDescent="0.35">
      <c r="A71" s="243" t="s">
        <v>1113</v>
      </c>
      <c r="B71" s="244"/>
      <c r="C71" s="244"/>
      <c r="D71" s="244"/>
      <c r="E71" s="244"/>
      <c r="F71" s="244"/>
      <c r="G71" s="244"/>
      <c r="H71" s="245"/>
      <c r="I71" s="246" t="s">
        <v>1114</v>
      </c>
      <c r="J71" s="244"/>
      <c r="K71" s="244"/>
      <c r="L71" s="244"/>
      <c r="M71" s="244"/>
      <c r="N71" s="244"/>
      <c r="O71" s="244"/>
      <c r="P71" s="247"/>
      <c r="Q71" s="131"/>
      <c r="R71" s="131"/>
    </row>
    <row r="72" spans="1:18" ht="15" thickBot="1" x14ac:dyDescent="0.35">
      <c r="A72" s="213"/>
      <c r="B72" s="214"/>
      <c r="C72" s="214"/>
      <c r="D72" s="214"/>
      <c r="E72" s="214"/>
      <c r="F72" s="214"/>
      <c r="G72" s="214"/>
      <c r="H72" s="215"/>
      <c r="I72" s="216"/>
      <c r="J72" s="214"/>
      <c r="K72" s="214"/>
      <c r="L72" s="214"/>
      <c r="M72" s="214"/>
      <c r="N72" s="214"/>
      <c r="O72" s="214"/>
      <c r="P72" s="217"/>
      <c r="Q72" s="131"/>
      <c r="R72" s="131"/>
    </row>
    <row r="73" spans="1:18" ht="15" thickBot="1" x14ac:dyDescent="0.35">
      <c r="A73" s="213"/>
      <c r="B73" s="214"/>
      <c r="C73" s="214"/>
      <c r="D73" s="214"/>
      <c r="E73" s="214"/>
      <c r="F73" s="214"/>
      <c r="G73" s="214"/>
      <c r="H73" s="215"/>
      <c r="I73" s="216"/>
      <c r="J73" s="214"/>
      <c r="K73" s="214"/>
      <c r="L73" s="214"/>
      <c r="M73" s="214"/>
      <c r="N73" s="214"/>
      <c r="O73" s="214"/>
      <c r="P73" s="217"/>
      <c r="Q73" s="131"/>
      <c r="R73" s="131"/>
    </row>
    <row r="74" spans="1:18" ht="15" thickBot="1" x14ac:dyDescent="0.35">
      <c r="A74" s="213"/>
      <c r="B74" s="214"/>
      <c r="C74" s="214"/>
      <c r="D74" s="214"/>
      <c r="E74" s="214"/>
      <c r="F74" s="214"/>
      <c r="G74" s="214"/>
      <c r="H74" s="215"/>
      <c r="I74" s="216"/>
      <c r="J74" s="214"/>
      <c r="K74" s="214"/>
      <c r="L74" s="214"/>
      <c r="M74" s="214"/>
      <c r="N74" s="214"/>
      <c r="O74" s="214"/>
      <c r="P74" s="217"/>
      <c r="Q74" s="131"/>
      <c r="R74" s="131"/>
    </row>
    <row r="75" spans="1:18" ht="15.6" x14ac:dyDescent="0.3">
      <c r="A75" s="234" t="s">
        <v>1115</v>
      </c>
      <c r="B75" s="235"/>
      <c r="C75" s="235"/>
      <c r="D75" s="235"/>
      <c r="E75" s="235"/>
      <c r="F75" s="235"/>
      <c r="G75" s="235"/>
      <c r="H75" s="236"/>
      <c r="I75" s="234" t="s">
        <v>1115</v>
      </c>
      <c r="J75" s="235"/>
      <c r="K75" s="235"/>
      <c r="L75" s="235"/>
      <c r="M75" s="235"/>
      <c r="N75" s="235"/>
      <c r="O75" s="235"/>
      <c r="P75" s="235"/>
      <c r="Q75" s="131"/>
      <c r="R75" s="131"/>
    </row>
    <row r="76" spans="1:18" x14ac:dyDescent="0.3">
      <c r="A76" s="237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9"/>
      <c r="Q76" s="131"/>
      <c r="R76" s="131"/>
    </row>
    <row r="77" spans="1:18" ht="15" thickBot="1" x14ac:dyDescent="0.35">
      <c r="A77" s="240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2"/>
      <c r="Q77" s="131"/>
      <c r="R77" s="131"/>
    </row>
  </sheetData>
  <mergeCells count="99">
    <mergeCell ref="R1:R4"/>
    <mergeCell ref="A5:M5"/>
    <mergeCell ref="N5:P5"/>
    <mergeCell ref="A6:J6"/>
    <mergeCell ref="A7:D7"/>
    <mergeCell ref="E7:H7"/>
    <mergeCell ref="M7:P7"/>
    <mergeCell ref="A1:P4"/>
    <mergeCell ref="Q1:Q4"/>
    <mergeCell ref="A8:D8"/>
    <mergeCell ref="E8:H8"/>
    <mergeCell ref="M8:P8"/>
    <mergeCell ref="A9:P9"/>
    <mergeCell ref="A10:F10"/>
    <mergeCell ref="G10:K10"/>
    <mergeCell ref="L10:P10"/>
    <mergeCell ref="I8:J8"/>
    <mergeCell ref="M13:N13"/>
    <mergeCell ref="O13:P13"/>
    <mergeCell ref="A12:C12"/>
    <mergeCell ref="D12:F12"/>
    <mergeCell ref="G12:I12"/>
    <mergeCell ref="J12:L12"/>
    <mergeCell ref="M12:N12"/>
    <mergeCell ref="O12:P12"/>
    <mergeCell ref="O16:P16"/>
    <mergeCell ref="A14:P14"/>
    <mergeCell ref="A15:D15"/>
    <mergeCell ref="E15:H15"/>
    <mergeCell ref="I15:J15"/>
    <mergeCell ref="K15:L15"/>
    <mergeCell ref="M15:N15"/>
    <mergeCell ref="O15:P15"/>
    <mergeCell ref="A16:D16"/>
    <mergeCell ref="E16:H16"/>
    <mergeCell ref="I16:J16"/>
    <mergeCell ref="K16:L16"/>
    <mergeCell ref="M16:N16"/>
    <mergeCell ref="A17:D17"/>
    <mergeCell ref="E17:H17"/>
    <mergeCell ref="I17:P17"/>
    <mergeCell ref="A18:D18"/>
    <mergeCell ref="E18:H18"/>
    <mergeCell ref="I18:P18"/>
    <mergeCell ref="A19:P19"/>
    <mergeCell ref="B20:E20"/>
    <mergeCell ref="G20:J20"/>
    <mergeCell ref="L20:P20"/>
    <mergeCell ref="B21:E21"/>
    <mergeCell ref="G21:J21"/>
    <mergeCell ref="L21:P21"/>
    <mergeCell ref="A26:D26"/>
    <mergeCell ref="F26:H26"/>
    <mergeCell ref="I26:L26"/>
    <mergeCell ref="M26:P26"/>
    <mergeCell ref="B22:E22"/>
    <mergeCell ref="G22:J22"/>
    <mergeCell ref="L22:P22"/>
    <mergeCell ref="A23:E23"/>
    <mergeCell ref="F23:J23"/>
    <mergeCell ref="K23:P23"/>
    <mergeCell ref="A24:P24"/>
    <mergeCell ref="A25:D25"/>
    <mergeCell ref="F25:H25"/>
    <mergeCell ref="I25:L25"/>
    <mergeCell ref="M25:P25"/>
    <mergeCell ref="Q28:Q29"/>
    <mergeCell ref="R28:R29"/>
    <mergeCell ref="A27:P27"/>
    <mergeCell ref="A28:A29"/>
    <mergeCell ref="C28:E29"/>
    <mergeCell ref="F28:G29"/>
    <mergeCell ref="H28:H29"/>
    <mergeCell ref="I28:I29"/>
    <mergeCell ref="O28:O29"/>
    <mergeCell ref="P28:P29"/>
    <mergeCell ref="L28:M29"/>
    <mergeCell ref="N28:N29"/>
    <mergeCell ref="A75:H75"/>
    <mergeCell ref="I75:P75"/>
    <mergeCell ref="A76:P76"/>
    <mergeCell ref="A77:P77"/>
    <mergeCell ref="A71:H71"/>
    <mergeCell ref="I71:P71"/>
    <mergeCell ref="A72:H72"/>
    <mergeCell ref="I72:P72"/>
    <mergeCell ref="A73:H73"/>
    <mergeCell ref="I73:P73"/>
    <mergeCell ref="A70:P70"/>
    <mergeCell ref="A60:P60"/>
    <mergeCell ref="A61:P61"/>
    <mergeCell ref="A62:P62"/>
    <mergeCell ref="A74:H74"/>
    <mergeCell ref="I74:P74"/>
    <mergeCell ref="A63:I63"/>
    <mergeCell ref="J63:K63"/>
    <mergeCell ref="O63:P63"/>
    <mergeCell ref="A64:P64"/>
    <mergeCell ref="A65:P69"/>
  </mergeCells>
  <dataValidations count="2">
    <dataValidation type="list" allowBlank="1" showInputMessage="1" showErrorMessage="1" sqref="I8:J8" xr:uid="{A55770E7-E356-472E-B7BC-35E28E0330F8}">
      <formula1>"ENTREGA, TRANSFERÊNCIA"</formula1>
    </dataValidation>
    <dataValidation type="list" allowBlank="1" showInputMessage="1" showErrorMessage="1" sqref="K8" xr:uid="{1A3C9A56-FDFA-4B9C-9522-B678E581700C}">
      <formula1>"ITB, FS1, EXP, VCA, TXF, AJU, REC, MCZ, JPA, NAT"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Ficha para impressão</vt:lpstr>
      <vt:lpstr>base</vt:lpstr>
      <vt:lpstr>FROTA-AGREG</vt:lpstr>
      <vt:lpstr>BUONNY</vt:lpstr>
      <vt:lpstr>ORDEM DE CARREGAMENTO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Rodrigo</dc:creator>
  <cp:lastModifiedBy>Leandro Nacimento</cp:lastModifiedBy>
  <cp:lastPrinted>2026-08-12T18:42:42Z</cp:lastPrinted>
  <dcterms:created xsi:type="dcterms:W3CDTF">2025-03-12T14:54:03Z</dcterms:created>
  <dcterms:modified xsi:type="dcterms:W3CDTF">2026-08-12T20:25:36Z</dcterms:modified>
</cp:coreProperties>
</file>